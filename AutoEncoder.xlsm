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ub/Code/MWPSensorAI/MWPSensorAI/"/>
    </mc:Choice>
  </mc:AlternateContent>
  <xr:revisionPtr revIDLastSave="0" documentId="8_{0ABD74D8-5754-8E4C-A171-BED1C0ED39D8}" xr6:coauthVersionLast="47" xr6:coauthVersionMax="47" xr10:uidLastSave="{00000000-0000-0000-0000-000000000000}"/>
  <bookViews>
    <workbookView xWindow="8260" yWindow="2260" windowWidth="36040" windowHeight="16940" activeTab="2" xr2:uid="{078DA244-4003-BA45-96F9-C31D0ADB1D91}"/>
  </bookViews>
  <sheets>
    <sheet name="Cleaned Data" sheetId="1" r:id="rId1"/>
    <sheet name="Raw Data" sheetId="2" r:id="rId2"/>
    <sheet name="model matrix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C3" i="3"/>
  <c r="D3" i="3"/>
  <c r="E3" i="3"/>
  <c r="F3" i="3"/>
  <c r="C4" i="3"/>
  <c r="D4" i="3"/>
  <c r="E4" i="3"/>
  <c r="F4" i="3"/>
  <c r="C5" i="3"/>
  <c r="D5" i="3"/>
  <c r="E5" i="3"/>
  <c r="F5" i="3"/>
  <c r="C6" i="3"/>
  <c r="D6" i="3"/>
  <c r="E6" i="3"/>
  <c r="F6" i="3"/>
  <c r="C7" i="3"/>
  <c r="D7" i="3"/>
  <c r="E7" i="3"/>
  <c r="F7" i="3"/>
  <c r="C8" i="3"/>
  <c r="D8" i="3"/>
  <c r="E8" i="3"/>
  <c r="F8" i="3"/>
  <c r="C9" i="3"/>
  <c r="D9" i="3"/>
  <c r="E9" i="3"/>
  <c r="F9" i="3"/>
  <c r="C10" i="3"/>
  <c r="D10" i="3"/>
  <c r="E10" i="3"/>
  <c r="F10" i="3"/>
  <c r="C11" i="3"/>
  <c r="D11" i="3"/>
  <c r="E11" i="3"/>
  <c r="F11" i="3"/>
  <c r="C12" i="3"/>
  <c r="D12" i="3"/>
  <c r="E12" i="3"/>
  <c r="F12" i="3"/>
  <c r="C13" i="3"/>
  <c r="D13" i="3"/>
  <c r="E13" i="3"/>
  <c r="F13" i="3"/>
  <c r="C14" i="3"/>
  <c r="D14" i="3"/>
  <c r="E14" i="3"/>
  <c r="F14" i="3"/>
  <c r="C15" i="3"/>
  <c r="D15" i="3"/>
  <c r="E15" i="3"/>
  <c r="F15" i="3"/>
  <c r="C16" i="3"/>
  <c r="D16" i="3"/>
  <c r="E16" i="3"/>
  <c r="F16" i="3"/>
  <c r="C17" i="3"/>
  <c r="D17" i="3"/>
  <c r="E17" i="3"/>
  <c r="F17" i="3"/>
  <c r="C18" i="3"/>
  <c r="D18" i="3"/>
  <c r="E18" i="3"/>
  <c r="F18" i="3"/>
  <c r="C19" i="3"/>
  <c r="D19" i="3"/>
  <c r="E19" i="3"/>
  <c r="F19" i="3"/>
  <c r="C20" i="3"/>
  <c r="D20" i="3"/>
  <c r="E20" i="3"/>
  <c r="F20" i="3"/>
  <c r="C21" i="3"/>
  <c r="D21" i="3"/>
  <c r="E21" i="3"/>
  <c r="F21" i="3"/>
  <c r="C22" i="3"/>
  <c r="D22" i="3"/>
  <c r="E22" i="3"/>
  <c r="F22" i="3"/>
  <c r="C23" i="3"/>
  <c r="D23" i="3"/>
  <c r="E23" i="3"/>
  <c r="F23" i="3"/>
  <c r="C24" i="3"/>
  <c r="D24" i="3"/>
  <c r="E24" i="3"/>
  <c r="F24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29" i="3"/>
  <c r="D29" i="3"/>
  <c r="E29" i="3"/>
  <c r="F29" i="3"/>
  <c r="C30" i="3"/>
  <c r="D30" i="3"/>
  <c r="E30" i="3"/>
  <c r="F30" i="3"/>
  <c r="C31" i="3"/>
  <c r="D31" i="3"/>
  <c r="E31" i="3"/>
  <c r="F31" i="3"/>
  <c r="C32" i="3"/>
  <c r="D32" i="3"/>
  <c r="E32" i="3"/>
  <c r="F32" i="3"/>
  <c r="C33" i="3"/>
  <c r="D33" i="3"/>
  <c r="E33" i="3"/>
  <c r="F33" i="3"/>
  <c r="C34" i="3"/>
  <c r="D34" i="3"/>
  <c r="E34" i="3"/>
  <c r="F34" i="3"/>
  <c r="C35" i="3"/>
  <c r="D35" i="3"/>
  <c r="E35" i="3"/>
  <c r="F35" i="3"/>
  <c r="C36" i="3"/>
  <c r="D36" i="3"/>
  <c r="E36" i="3"/>
  <c r="F36" i="3"/>
  <c r="C37" i="3"/>
  <c r="D37" i="3"/>
  <c r="E37" i="3"/>
  <c r="F37" i="3"/>
  <c r="C38" i="3"/>
  <c r="D38" i="3"/>
  <c r="E38" i="3"/>
  <c r="F38" i="3"/>
  <c r="C39" i="3"/>
  <c r="D39" i="3"/>
  <c r="E39" i="3"/>
  <c r="F39" i="3"/>
  <c r="C40" i="3"/>
  <c r="D40" i="3"/>
  <c r="E40" i="3"/>
  <c r="F40" i="3"/>
  <c r="C41" i="3"/>
  <c r="D41" i="3"/>
  <c r="E41" i="3"/>
  <c r="F41" i="3"/>
  <c r="C42" i="3"/>
  <c r="D42" i="3"/>
  <c r="E42" i="3"/>
  <c r="F42" i="3"/>
  <c r="C43" i="3"/>
  <c r="D43" i="3"/>
  <c r="E43" i="3"/>
  <c r="F43" i="3"/>
  <c r="C44" i="3"/>
  <c r="D44" i="3"/>
  <c r="E44" i="3"/>
  <c r="F44" i="3"/>
  <c r="C45" i="3"/>
  <c r="D45" i="3"/>
  <c r="E45" i="3"/>
  <c r="F45" i="3"/>
  <c r="C46" i="3"/>
  <c r="D46" i="3"/>
  <c r="E46" i="3"/>
  <c r="F46" i="3"/>
  <c r="C47" i="3"/>
  <c r="D47" i="3"/>
  <c r="E47" i="3"/>
  <c r="F47" i="3"/>
  <c r="C2" i="3"/>
  <c r="D2" i="3"/>
  <c r="E2" i="3"/>
</calcChain>
</file>

<file path=xl/sharedStrings.xml><?xml version="1.0" encoding="utf-8"?>
<sst xmlns="http://schemas.openxmlformats.org/spreadsheetml/2006/main" count="77" uniqueCount="73">
  <si>
    <t>Flow</t>
  </si>
  <si>
    <t>Pressure</t>
  </si>
  <si>
    <t>Ratio Flow/Pressure</t>
  </si>
  <si>
    <t>Elapsed Time</t>
  </si>
  <si>
    <t>Delta Flow (to prior)</t>
  </si>
  <si>
    <t>Delta Press (to Prio)</t>
  </si>
  <si>
    <t>Mean Flow</t>
  </si>
  <si>
    <t>Mean Press</t>
  </si>
  <si>
    <t>Median Flow</t>
  </si>
  <si>
    <t>Median Pressure</t>
  </si>
  <si>
    <t>Mean Ratio Flow/Press</t>
  </si>
  <si>
    <t>Unix Timestamp</t>
  </si>
  <si>
    <t>Normalization Constants</t>
  </si>
  <si>
    <t>Max Flow</t>
  </si>
  <si>
    <t>Min Flow</t>
  </si>
  <si>
    <t>Max Press</t>
  </si>
  <si>
    <t>Min Press</t>
  </si>
  <si>
    <t>Import File Path/Name</t>
  </si>
  <si>
    <t>Bound U/L</t>
  </si>
  <si>
    <t>Model Number</t>
  </si>
  <si>
    <t>ID</t>
  </si>
  <si>
    <t>Raw Data File</t>
  </si>
  <si>
    <t>Training Data File</t>
  </si>
  <si>
    <t>Test Data File</t>
  </si>
  <si>
    <t>Model Name</t>
  </si>
  <si>
    <t>Prediction Err Coeficient</t>
  </si>
  <si>
    <t>FZ1</t>
  </si>
  <si>
    <t>FZ2</t>
  </si>
  <si>
    <t>HZ1</t>
  </si>
  <si>
    <t>FZ3</t>
  </si>
  <si>
    <t>FZ4</t>
  </si>
  <si>
    <t>FZ5</t>
  </si>
  <si>
    <t>FZ6</t>
  </si>
  <si>
    <t>FZ7</t>
  </si>
  <si>
    <t>FZ8</t>
  </si>
  <si>
    <t>FZ9</t>
  </si>
  <si>
    <t>FZ10</t>
  </si>
  <si>
    <t>FZ11</t>
  </si>
  <si>
    <t>FZ12</t>
  </si>
  <si>
    <t>FZ13</t>
  </si>
  <si>
    <t>FZ14</t>
  </si>
  <si>
    <t>FZ15</t>
  </si>
  <si>
    <t>FZ16</t>
  </si>
  <si>
    <t>FZ17</t>
  </si>
  <si>
    <t>FZ18</t>
  </si>
  <si>
    <t>FZ19</t>
  </si>
  <si>
    <t>FZ20</t>
  </si>
  <si>
    <t>FZ21</t>
  </si>
  <si>
    <t>FZ22</t>
  </si>
  <si>
    <t>BZ1</t>
  </si>
  <si>
    <t>BZ2</t>
  </si>
  <si>
    <t>BZ3</t>
  </si>
  <si>
    <t>BZ4</t>
  </si>
  <si>
    <t>BZ5</t>
  </si>
  <si>
    <t>BZ6</t>
  </si>
  <si>
    <t>BZ7</t>
  </si>
  <si>
    <t>BZ8</t>
  </si>
  <si>
    <t>BZ9</t>
  </si>
  <si>
    <t>BZ10</t>
  </si>
  <si>
    <t>BZ11</t>
  </si>
  <si>
    <t>BZ12</t>
  </si>
  <si>
    <t>BZ13</t>
  </si>
  <si>
    <t>BZ14</t>
  </si>
  <si>
    <t>BZ15</t>
  </si>
  <si>
    <t>BZ16</t>
  </si>
  <si>
    <t>BZ17</t>
  </si>
  <si>
    <t>BZ18</t>
  </si>
  <si>
    <t>BZ19</t>
  </si>
  <si>
    <t>BZ20</t>
  </si>
  <si>
    <t>BZ21</t>
  </si>
  <si>
    <t>BZ22</t>
  </si>
  <si>
    <t>WZ3</t>
  </si>
  <si>
    <t>/Users/dub/code/MWPLogData/trainingdata/FZ1_raw.csv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</si>
</sst>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8"/>
      <name val="Aptos Narrow"/>
      <family val="2"/>
      <scheme val="minor"/>
    </font>
    <font>
      <b/>
      <sz val="16"/>
      <color rgb="FF92D050"/>
      <name val="Aptos Narrow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635000</xdr:colOff>
          <xdr:row>7</xdr:row>
          <xdr:rowOff>0</xdr:rowOff>
        </xdr:from>
        <xdr:to>
          <xdr:col>6</xdr:col>
          <xdr:colOff>406400</xdr:colOff>
          <xdr:row>10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92D377F-4F32-6EB6-9B63-D0004BCA9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92D050"/>
                  </a:solidFill>
                  <a:latin typeface="Aptos Narrow" charset="0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02D198-DB3E-1644-9E39-0D6F979F3915}" name="Table1" displayName="Table1" ref="A1:K36" totalsRowShown="0">
  <autoFilter ref="A1:K36" xr:uid="{2002D198-DB3E-1644-9E39-0D6F979F3915}"/>
  <tableColumns count="11">
    <tableColumn id="1" xr3:uid="{8F8C45F1-FE59-E444-BB3E-C107F4E2D7DC}" name="Elapsed Time" dataDxfId="2"/>
    <tableColumn id="2" xr3:uid="{3ED7E837-D88B-CF46-A92C-65C02E554728}" name="Flow"/>
    <tableColumn id="3" xr3:uid="{DCF3643C-F554-F646-88BC-BA392E9D0803}" name="Pressure"/>
    <tableColumn id="4" xr3:uid="{C89D7120-FA60-F74C-92B9-7413FF2CB1F7}" name="Ratio Flow/Pressure"/>
    <tableColumn id="5" xr3:uid="{B00FE717-0694-2D43-8D33-CAA05CA229F9}" name="Delta Flow (to prior)"/>
    <tableColumn id="6" xr3:uid="{84460C0A-87BD-DB4E-8C5E-19AA09DDC473}" name="Delta Press (to Prio)"/>
    <tableColumn id="7" xr3:uid="{D5C9DFF4-A5FD-9D41-BA34-ABCC6EB5414B}" name="Mean Flow"/>
    <tableColumn id="8" xr3:uid="{87DE01B0-0AFC-1442-9385-4D916636D420}" name="Mean Press"/>
    <tableColumn id="9" xr3:uid="{B6A06141-9C04-6848-874A-4C6052C5F2D1}" name="Median Flow" dataDxfId="1">
      <calculatedColumnFormula>MEDIAN(B2:B82)</calculatedColumnFormula>
    </tableColumn>
    <tableColumn id="11" xr3:uid="{365E8884-8E94-9B4E-8D9D-41ABD736A76D}" name="Median Pressure" dataDxfId="0">
      <calculatedColumnFormula>MEDIAN(C2:C82)</calculatedColumnFormula>
    </tableColumn>
    <tableColumn id="10" xr3:uid="{E0A3DD61-2A54-AC48-A6F1-82F0F1B40D96}" name="Mean Ratio Flow/Pr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12317-EBA1-634C-A2A2-D7C488B4D8C2}" name="Table2" displayName="Table2" ref="A4:C86" totalsRowShown="0">
  <autoFilter ref="A4:C86" xr:uid="{33312317-EBA1-634C-A2A2-D7C488B4D8C2}"/>
  <tableColumns count="3">
    <tableColumn id="1" xr3:uid="{F0C0F1E5-6C4F-4043-851F-F9B03ED65901}" name="Unix Timestamp"/>
    <tableColumn id="2" xr3:uid="{8908C8EA-3540-8E46-88C4-BB026FA924B5}" name="Flow"/>
    <tableColumn id="3" xr3:uid="{C57FC0F0-8A84-704D-8BCD-1B26F2B64106}" name="Pressure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7A4F-E6D5-4349-94FF-3D60A7788A11}">
  <sheetPr codeName="Sheet1"/>
  <dimension ref="A1:O120"/>
  <sheetViews>
    <sheetView workbookViewId="0">
      <selection sqref="A1:K3"/>
    </sheetView>
  </sheetViews>
  <sheetFormatPr baseColWidth="10" defaultRowHeight="16" x14ac:dyDescent="0.2"/>
  <cols>
    <col min="1" max="11" width="19.33203125" customWidth="1"/>
  </cols>
  <sheetData>
    <row r="1" spans="1:15" x14ac:dyDescent="0.2">
      <c r="A1" t="s">
        <v>3</v>
      </c>
      <c r="B1" t="s">
        <v>0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5" x14ac:dyDescent="0.2">
      <c r="A2">
        <v>1</v>
      </c>
      <c r="B2">
        <v>0.27348501002004011</v>
      </c>
      <c r="C2">
        <v>8.0088333333333331E-2</v>
      </c>
      <c r="D2">
        <v>-1.3231661116137603</v>
      </c>
      <c r="E2">
        <v>4.092569000000001</v>
      </c>
      <c r="F2">
        <v>-0.93520000000000003</v>
      </c>
      <c r="G2">
        <v>0.41626194883594325</v>
      </c>
      <c r="H2">
        <v>8.4115576131687256E-2</v>
      </c>
      <c r="I2">
        <f t="shared" ref="I2:I36" si="0">MEDIAN(B2:B82)</f>
        <v>0.54249208416833672</v>
      </c>
      <c r="J2">
        <f t="shared" ref="J2:J36" si="1">MEDIAN(C2:C82)</f>
        <v>8.4541666666666668E-2</v>
      </c>
    </row>
    <row r="3" spans="1:15" x14ac:dyDescent="0.2">
      <c r="A3">
        <v>1</v>
      </c>
      <c r="B3">
        <v>0.33244352705410823</v>
      </c>
      <c r="C3">
        <v>9.0108333333333332E-2</v>
      </c>
      <c r="D3">
        <v>-1.8165812561227825</v>
      </c>
      <c r="E3">
        <v>2.9420300000000008</v>
      </c>
      <c r="F3">
        <v>1.2024000000000008</v>
      </c>
      <c r="G3">
        <v>0.41626194883594325</v>
      </c>
      <c r="H3">
        <v>8.4115576131687256E-2</v>
      </c>
      <c r="I3">
        <f t="shared" si="0"/>
        <v>0.54249208416833672</v>
      </c>
      <c r="J3">
        <f t="shared" si="1"/>
        <v>8.4541666666666668E-2</v>
      </c>
      <c r="M3" s="1" t="s">
        <v>12</v>
      </c>
      <c r="N3" s="1"/>
      <c r="O3" s="1"/>
    </row>
    <row r="4" spans="1:15" x14ac:dyDescent="0.2">
      <c r="I4">
        <f t="shared" si="0"/>
        <v>0.54249208416833672</v>
      </c>
      <c r="J4">
        <f t="shared" si="1"/>
        <v>8.4541666666666668E-2</v>
      </c>
      <c r="M4" s="1" t="s">
        <v>13</v>
      </c>
      <c r="N4" s="1">
        <v>4</v>
      </c>
      <c r="O4" s="1"/>
    </row>
    <row r="5" spans="1:15" x14ac:dyDescent="0.2">
      <c r="I5">
        <f t="shared" si="0"/>
        <v>0.53790349699398798</v>
      </c>
      <c r="J5">
        <f t="shared" si="1"/>
        <v>8.4541666666666668E-2</v>
      </c>
      <c r="M5" s="1" t="s">
        <v>14</v>
      </c>
      <c r="N5" s="1">
        <v>0.01</v>
      </c>
      <c r="O5" s="1"/>
    </row>
    <row r="6" spans="1:15" x14ac:dyDescent="0.2">
      <c r="I6">
        <f t="shared" si="0"/>
        <v>0.53331490981963925</v>
      </c>
      <c r="J6">
        <f t="shared" si="1"/>
        <v>8.4541666666666668E-2</v>
      </c>
      <c r="M6" s="1" t="s">
        <v>15</v>
      </c>
      <c r="N6" s="1">
        <v>100</v>
      </c>
      <c r="O6" s="1"/>
    </row>
    <row r="7" spans="1:15" x14ac:dyDescent="0.2">
      <c r="I7">
        <f t="shared" si="0"/>
        <v>0.52879246492985965</v>
      </c>
      <c r="J7">
        <f t="shared" si="1"/>
        <v>8.4541666666666668E-2</v>
      </c>
      <c r="M7" s="1" t="s">
        <v>16</v>
      </c>
      <c r="N7" s="1">
        <v>0</v>
      </c>
      <c r="O7" s="1"/>
    </row>
    <row r="8" spans="1:15" x14ac:dyDescent="0.2">
      <c r="I8">
        <f t="shared" si="0"/>
        <v>0.52427002004008016</v>
      </c>
      <c r="J8">
        <f t="shared" si="1"/>
        <v>8.4541666666666668E-2</v>
      </c>
    </row>
    <row r="9" spans="1:15" x14ac:dyDescent="0.2">
      <c r="I9">
        <f t="shared" si="0"/>
        <v>0.5227142885771543</v>
      </c>
      <c r="J9">
        <f t="shared" si="1"/>
        <v>8.4541666666666668E-2</v>
      </c>
    </row>
    <row r="10" spans="1:15" x14ac:dyDescent="0.2">
      <c r="I10">
        <f t="shared" si="0"/>
        <v>0.52115855711422843</v>
      </c>
      <c r="J10">
        <f t="shared" si="1"/>
        <v>8.4541666666666668E-2</v>
      </c>
    </row>
    <row r="11" spans="1:15" x14ac:dyDescent="0.2">
      <c r="I11">
        <f t="shared" si="0"/>
        <v>0.5138351402805611</v>
      </c>
      <c r="J11">
        <f t="shared" si="1"/>
        <v>8.4541666666666668E-2</v>
      </c>
    </row>
    <row r="12" spans="1:15" x14ac:dyDescent="0.2">
      <c r="I12">
        <f t="shared" si="0"/>
        <v>0.50651172344689377</v>
      </c>
      <c r="J12">
        <f t="shared" si="1"/>
        <v>8.4541666666666668E-2</v>
      </c>
    </row>
    <row r="13" spans="1:15" x14ac:dyDescent="0.2">
      <c r="I13">
        <f t="shared" si="0"/>
        <v>0.5062881362725451</v>
      </c>
      <c r="J13">
        <f t="shared" si="1"/>
        <v>8.4541666666666668E-2</v>
      </c>
    </row>
    <row r="14" spans="1:15" x14ac:dyDescent="0.2">
      <c r="I14">
        <f t="shared" si="0"/>
        <v>0.50606454909819631</v>
      </c>
      <c r="J14">
        <f t="shared" si="1"/>
        <v>8.4541666666666668E-2</v>
      </c>
    </row>
    <row r="15" spans="1:15" x14ac:dyDescent="0.2">
      <c r="I15">
        <f t="shared" si="0"/>
        <v>0.49786585170340675</v>
      </c>
      <c r="J15">
        <f t="shared" si="1"/>
        <v>8.4541666666666668E-2</v>
      </c>
    </row>
    <row r="16" spans="1:15" x14ac:dyDescent="0.2">
      <c r="I16">
        <f t="shared" si="0"/>
        <v>0.48966715430861718</v>
      </c>
      <c r="J16">
        <f t="shared" si="1"/>
        <v>8.4541666666666668E-2</v>
      </c>
    </row>
    <row r="17" spans="9:10" x14ac:dyDescent="0.2">
      <c r="I17">
        <f t="shared" si="0"/>
        <v>0.48801774549098192</v>
      </c>
      <c r="J17">
        <f t="shared" si="1"/>
        <v>8.4541666666666668E-2</v>
      </c>
    </row>
    <row r="18" spans="9:10" x14ac:dyDescent="0.2">
      <c r="I18">
        <f t="shared" si="0"/>
        <v>0.48636833667334667</v>
      </c>
      <c r="J18">
        <f t="shared" si="1"/>
        <v>8.4541666666666668E-2</v>
      </c>
    </row>
    <row r="19" spans="9:10" x14ac:dyDescent="0.2">
      <c r="I19">
        <f t="shared" si="0"/>
        <v>0.47781259519038077</v>
      </c>
      <c r="J19">
        <f t="shared" si="1"/>
        <v>8.4541666666666668E-2</v>
      </c>
    </row>
    <row r="20" spans="9:10" x14ac:dyDescent="0.2">
      <c r="I20">
        <f t="shared" si="0"/>
        <v>0.46925685370741482</v>
      </c>
      <c r="J20">
        <f t="shared" si="1"/>
        <v>8.4541666666666668E-2</v>
      </c>
    </row>
    <row r="21" spans="9:10" x14ac:dyDescent="0.2">
      <c r="I21">
        <f t="shared" si="0"/>
        <v>0.46771870741482968</v>
      </c>
      <c r="J21">
        <f t="shared" si="1"/>
        <v>8.4541666666666668E-2</v>
      </c>
    </row>
    <row r="22" spans="9:10" x14ac:dyDescent="0.2">
      <c r="I22">
        <f t="shared" si="0"/>
        <v>0.46618056112224449</v>
      </c>
      <c r="J22">
        <f t="shared" si="1"/>
        <v>8.4541666666666668E-2</v>
      </c>
    </row>
    <row r="23" spans="9:10" x14ac:dyDescent="0.2">
      <c r="I23">
        <f t="shared" si="0"/>
        <v>0.4558579759519038</v>
      </c>
      <c r="J23">
        <f t="shared" si="1"/>
        <v>8.4541666666666668E-2</v>
      </c>
    </row>
    <row r="24" spans="9:10" x14ac:dyDescent="0.2">
      <c r="I24">
        <f t="shared" si="0"/>
        <v>0.44553539078156307</v>
      </c>
      <c r="J24">
        <f t="shared" si="1"/>
        <v>8.4541666666666668E-2</v>
      </c>
    </row>
    <row r="25" spans="9:10" x14ac:dyDescent="0.2">
      <c r="I25">
        <f t="shared" si="0"/>
        <v>0.44530225450901795</v>
      </c>
      <c r="J25">
        <f t="shared" si="1"/>
        <v>8.3985000000000004E-2</v>
      </c>
    </row>
    <row r="26" spans="9:10" x14ac:dyDescent="0.2">
      <c r="I26">
        <f t="shared" si="0"/>
        <v>0.44506911823647288</v>
      </c>
      <c r="J26">
        <f t="shared" si="1"/>
        <v>8.4541666666666668E-2</v>
      </c>
    </row>
    <row r="27" spans="9:10" x14ac:dyDescent="0.2">
      <c r="I27">
        <f t="shared" si="0"/>
        <v>0.43545486973947894</v>
      </c>
      <c r="J27">
        <f t="shared" si="1"/>
        <v>8.3985000000000004E-2</v>
      </c>
    </row>
    <row r="28" spans="9:10" x14ac:dyDescent="0.2">
      <c r="I28">
        <f t="shared" si="0"/>
        <v>0.42584062124248501</v>
      </c>
      <c r="J28">
        <f t="shared" si="1"/>
        <v>8.4541666666666668E-2</v>
      </c>
    </row>
    <row r="29" spans="9:10" x14ac:dyDescent="0.2">
      <c r="I29">
        <f t="shared" si="0"/>
        <v>0.4204506613226453</v>
      </c>
      <c r="J29">
        <f t="shared" si="1"/>
        <v>8.4541666666666668E-2</v>
      </c>
    </row>
    <row r="30" spans="9:10" x14ac:dyDescent="0.2">
      <c r="I30">
        <f t="shared" si="0"/>
        <v>0.4150607014028056</v>
      </c>
      <c r="J30">
        <f t="shared" si="1"/>
        <v>8.4541666666666668E-2</v>
      </c>
    </row>
    <row r="31" spans="9:10" x14ac:dyDescent="0.2">
      <c r="I31">
        <f t="shared" si="0"/>
        <v>0.41134110220440878</v>
      </c>
      <c r="J31">
        <f t="shared" si="1"/>
        <v>8.4541666666666668E-2</v>
      </c>
    </row>
    <row r="32" spans="9:10" x14ac:dyDescent="0.2">
      <c r="I32">
        <f t="shared" si="0"/>
        <v>0.40762150300601202</v>
      </c>
      <c r="J32">
        <f t="shared" si="1"/>
        <v>8.4541666666666668E-2</v>
      </c>
    </row>
    <row r="33" spans="1:11" x14ac:dyDescent="0.2">
      <c r="I33">
        <f t="shared" si="0"/>
        <v>0.39828203406813628</v>
      </c>
      <c r="J33">
        <f t="shared" si="1"/>
        <v>8.4541666666666668E-2</v>
      </c>
    </row>
    <row r="34" spans="1:11" x14ac:dyDescent="0.2">
      <c r="I34">
        <f t="shared" si="0"/>
        <v>0.38894256513026054</v>
      </c>
      <c r="J34">
        <f t="shared" si="1"/>
        <v>8.4541666666666668E-2</v>
      </c>
    </row>
    <row r="35" spans="1:11" x14ac:dyDescent="0.2">
      <c r="I35">
        <f t="shared" si="0"/>
        <v>0.38420931863727453</v>
      </c>
      <c r="J35">
        <f t="shared" si="1"/>
        <v>8.4541666666666668E-2</v>
      </c>
    </row>
    <row r="36" spans="1:11" x14ac:dyDescent="0.2">
      <c r="A36" s="5"/>
      <c r="G36">
        <v>0.41626194883594325</v>
      </c>
      <c r="H36">
        <v>8.4115576131687256E-2</v>
      </c>
      <c r="I36">
        <f t="shared" si="0"/>
        <v>0.37947607214428852</v>
      </c>
      <c r="J36">
        <f t="shared" si="1"/>
        <v>8.4541666666666668E-2</v>
      </c>
      <c r="K36">
        <v>-2.1127192527302006</v>
      </c>
    </row>
    <row r="40" spans="1:11" x14ac:dyDescent="0.2">
      <c r="A40">
        <v>1</v>
      </c>
      <c r="B40">
        <v>0.27348501002004011</v>
      </c>
      <c r="C40">
        <v>8.0088333333333331E-2</v>
      </c>
      <c r="D40">
        <v>-1.3231661116137603</v>
      </c>
      <c r="E40">
        <v>4.092569000000001</v>
      </c>
      <c r="F40">
        <v>-0.93520000000000003</v>
      </c>
    </row>
    <row r="41" spans="1:11" x14ac:dyDescent="0.2">
      <c r="A41">
        <v>1</v>
      </c>
      <c r="B41">
        <v>0.33244352705410823</v>
      </c>
      <c r="C41">
        <v>9.0108333333333332E-2</v>
      </c>
      <c r="D41">
        <v>-1.8165812561227825</v>
      </c>
      <c r="E41">
        <v>2.9420300000000008</v>
      </c>
      <c r="F41">
        <v>1.2024000000000008</v>
      </c>
    </row>
    <row r="42" spans="1:11" x14ac:dyDescent="0.2">
      <c r="A42">
        <v>1</v>
      </c>
      <c r="B42">
        <v>0.37947607214428852</v>
      </c>
      <c r="C42">
        <v>8.4541666666666668E-2</v>
      </c>
      <c r="D42">
        <v>-1.9315937087772703</v>
      </c>
      <c r="E42">
        <v>2.3469239999999978</v>
      </c>
      <c r="F42">
        <v>-0.66800000000000104</v>
      </c>
    </row>
    <row r="43" spans="1:11" x14ac:dyDescent="0.2">
      <c r="A43">
        <v>1</v>
      </c>
      <c r="B43">
        <v>0.4150607014028056</v>
      </c>
      <c r="C43">
        <v>8.0088333333333331E-2</v>
      </c>
      <c r="D43">
        <v>-2.0031502300421584</v>
      </c>
      <c r="E43">
        <v>1.7756730000000012</v>
      </c>
      <c r="F43">
        <v>-0.53439999999999976</v>
      </c>
    </row>
    <row r="44" spans="1:11" x14ac:dyDescent="0.2">
      <c r="A44">
        <v>1</v>
      </c>
      <c r="B44">
        <v>0.44506911823647288</v>
      </c>
      <c r="C44">
        <v>9.0108333333333332E-2</v>
      </c>
      <c r="D44">
        <v>-2.4283170784804615</v>
      </c>
      <c r="E44">
        <v>1.4974199999999982</v>
      </c>
      <c r="F44">
        <v>1.2024000000000008</v>
      </c>
    </row>
    <row r="45" spans="1:11" x14ac:dyDescent="0.2">
      <c r="A45">
        <v>1</v>
      </c>
      <c r="B45">
        <v>0.46925685370741482</v>
      </c>
      <c r="C45">
        <v>7.8975000000000004E-2</v>
      </c>
      <c r="D45">
        <v>-2.2347160505559254</v>
      </c>
      <c r="E45">
        <v>1.2069680000000034</v>
      </c>
      <c r="F45">
        <v>-1.3360000000000003</v>
      </c>
    </row>
    <row r="46" spans="1:11" x14ac:dyDescent="0.2">
      <c r="A46">
        <v>1</v>
      </c>
      <c r="B46">
        <v>0.48966715430861718</v>
      </c>
      <c r="C46">
        <v>8.8994999999999991E-2</v>
      </c>
      <c r="D46">
        <v>-2.6322759264425035</v>
      </c>
      <c r="E46">
        <v>1.0184739999999977</v>
      </c>
      <c r="F46">
        <v>1.202399999999999</v>
      </c>
    </row>
    <row r="47" spans="1:11" x14ac:dyDescent="0.2">
      <c r="A47">
        <v>1</v>
      </c>
      <c r="B47">
        <v>0.50651172344689377</v>
      </c>
      <c r="C47">
        <v>8.0088333333333331E-2</v>
      </c>
      <c r="D47">
        <v>-2.4423869520857799</v>
      </c>
      <c r="E47">
        <v>0.84054400000000129</v>
      </c>
      <c r="F47">
        <v>-1.0687999999999995</v>
      </c>
    </row>
    <row r="48" spans="1:11" x14ac:dyDescent="0.2">
      <c r="A48">
        <v>1</v>
      </c>
      <c r="B48">
        <v>0.52115855711422843</v>
      </c>
      <c r="C48">
        <v>8.0088333333333331E-2</v>
      </c>
      <c r="D48">
        <v>-2.5127352878895799</v>
      </c>
      <c r="E48">
        <v>0.73087699999999955</v>
      </c>
      <c r="F48">
        <v>0</v>
      </c>
    </row>
    <row r="49" spans="1:6" x14ac:dyDescent="0.2">
      <c r="A49">
        <v>1</v>
      </c>
      <c r="B49">
        <v>0.53331490981963925</v>
      </c>
      <c r="C49">
        <v>9.0108333333333332E-2</v>
      </c>
      <c r="D49">
        <v>-2.9076318711222382</v>
      </c>
      <c r="E49">
        <v>0.60660199999999875</v>
      </c>
      <c r="F49">
        <v>1.2024000000000008</v>
      </c>
    </row>
    <row r="50" spans="1:6" x14ac:dyDescent="0.2">
      <c r="A50">
        <v>1</v>
      </c>
      <c r="B50">
        <v>0.54461935871743483</v>
      </c>
      <c r="C50">
        <v>7.8975000000000004E-2</v>
      </c>
      <c r="D50">
        <v>-2.5920845766416423</v>
      </c>
      <c r="E50">
        <v>0.56409200000000226</v>
      </c>
      <c r="F50">
        <v>-1.3360000000000003</v>
      </c>
    </row>
    <row r="51" spans="1:6" x14ac:dyDescent="0.2">
      <c r="A51">
        <v>1</v>
      </c>
      <c r="B51">
        <v>0.55361456913827656</v>
      </c>
      <c r="C51">
        <v>8.4541666666666668E-2</v>
      </c>
      <c r="D51">
        <v>-2.8133299847792994</v>
      </c>
      <c r="E51">
        <v>0.44886099999999729</v>
      </c>
      <c r="F51">
        <v>0.66799999999999926</v>
      </c>
    </row>
    <row r="52" spans="1:6" x14ac:dyDescent="0.2">
      <c r="A52">
        <v>1</v>
      </c>
      <c r="B52">
        <v>0.56114494989979957</v>
      </c>
      <c r="C52">
        <v>8.7881666666666663E-2</v>
      </c>
      <c r="D52">
        <v>-2.9723438260244124</v>
      </c>
      <c r="E52">
        <v>0.37576600000000226</v>
      </c>
      <c r="F52">
        <v>0.40080000000000027</v>
      </c>
    </row>
    <row r="53" spans="1:6" x14ac:dyDescent="0.2">
      <c r="A53">
        <v>1</v>
      </c>
      <c r="B53">
        <v>0.56792230460921844</v>
      </c>
      <c r="C53">
        <v>7.8975000000000004E-2</v>
      </c>
      <c r="D53">
        <v>-2.7025869999049701</v>
      </c>
      <c r="E53">
        <v>0.33819000000000088</v>
      </c>
      <c r="F53">
        <v>-1.0687999999999995</v>
      </c>
    </row>
    <row r="54" spans="1:6" x14ac:dyDescent="0.2">
      <c r="A54">
        <v>1</v>
      </c>
      <c r="B54">
        <v>0.59794062124248493</v>
      </c>
      <c r="C54">
        <v>8.6768333333333336E-2</v>
      </c>
      <c r="D54">
        <v>-3.1224302759757192</v>
      </c>
      <c r="E54">
        <v>1.497913999999998</v>
      </c>
      <c r="F54">
        <v>0.93520000000000003</v>
      </c>
    </row>
    <row r="55" spans="1:6" x14ac:dyDescent="0.2">
      <c r="A55">
        <v>1</v>
      </c>
      <c r="B55">
        <v>0.62697092184368741</v>
      </c>
      <c r="C55">
        <v>8.6768333333333336E-2</v>
      </c>
      <c r="D55">
        <v>-3.2735193683639627</v>
      </c>
      <c r="E55">
        <v>1.4486120000000007</v>
      </c>
      <c r="F55">
        <v>0</v>
      </c>
    </row>
    <row r="56" spans="1:6" x14ac:dyDescent="0.2">
      <c r="A56">
        <v>1</v>
      </c>
      <c r="B56">
        <v>0.65501719438877759</v>
      </c>
      <c r="C56">
        <v>8.6768333333333336E-2</v>
      </c>
      <c r="D56">
        <v>-3.4194870564675948</v>
      </c>
      <c r="E56">
        <v>1.3995090000000019</v>
      </c>
      <c r="F56">
        <v>0</v>
      </c>
    </row>
    <row r="57" spans="1:6" x14ac:dyDescent="0.2">
      <c r="A57">
        <v>1</v>
      </c>
      <c r="B57">
        <v>0.68156092184368733</v>
      </c>
      <c r="C57">
        <v>7.8975000000000004E-2</v>
      </c>
      <c r="D57">
        <v>-3.241460610092179</v>
      </c>
      <c r="E57">
        <v>1.3245319999999978</v>
      </c>
      <c r="F57">
        <v>-0.93520000000000003</v>
      </c>
    </row>
    <row r="58" spans="1:6" x14ac:dyDescent="0.2">
      <c r="A58">
        <v>1</v>
      </c>
      <c r="B58">
        <v>0.70715432865731453</v>
      </c>
      <c r="C58">
        <v>8.8994999999999991E-2</v>
      </c>
      <c r="D58">
        <v>-3.7966441001652251</v>
      </c>
      <c r="E58">
        <v>1.2771109999999979</v>
      </c>
      <c r="F58">
        <v>1.202399999999999</v>
      </c>
    </row>
    <row r="59" spans="1:6" x14ac:dyDescent="0.2">
      <c r="A59">
        <v>1</v>
      </c>
      <c r="B59">
        <v>0.71158266533066139</v>
      </c>
      <c r="C59">
        <v>8.342833333333334E-2</v>
      </c>
      <c r="D59">
        <v>-3.5648614420439304</v>
      </c>
      <c r="E59">
        <v>0.22097400000000533</v>
      </c>
      <c r="F59">
        <v>-0.66799999999999926</v>
      </c>
    </row>
    <row r="60" spans="1:6" x14ac:dyDescent="0.2">
      <c r="A60">
        <v>1</v>
      </c>
      <c r="B60">
        <v>0.70515440881763525</v>
      </c>
      <c r="C60">
        <v>8.0088333333333331E-2</v>
      </c>
      <c r="D60">
        <v>-3.396462259610757</v>
      </c>
      <c r="E60">
        <v>-0.32077000000000311</v>
      </c>
      <c r="F60">
        <v>-0.40080000000000027</v>
      </c>
    </row>
    <row r="61" spans="1:6" x14ac:dyDescent="0.2">
      <c r="A61">
        <v>1</v>
      </c>
      <c r="B61">
        <v>0.69876420841683362</v>
      </c>
      <c r="C61">
        <v>8.8994999999999991E-2</v>
      </c>
      <c r="D61">
        <v>-3.7517256399802585</v>
      </c>
      <c r="E61">
        <v>-0.31887100000000146</v>
      </c>
      <c r="F61">
        <v>1.0687999999999995</v>
      </c>
    </row>
    <row r="62" spans="1:6" x14ac:dyDescent="0.2">
      <c r="A62">
        <v>1</v>
      </c>
      <c r="B62">
        <v>0.69086182364729454</v>
      </c>
      <c r="C62">
        <v>7.8975000000000004E-2</v>
      </c>
      <c r="D62">
        <v>-3.2855654281098547</v>
      </c>
      <c r="E62">
        <v>-0.39432899999999904</v>
      </c>
      <c r="F62">
        <v>-1.202399999999999</v>
      </c>
    </row>
    <row r="63" spans="1:6" x14ac:dyDescent="0.2">
      <c r="A63">
        <v>1</v>
      </c>
      <c r="B63">
        <v>0.68250543086172344</v>
      </c>
      <c r="C63">
        <v>8.7881666666666663E-2</v>
      </c>
      <c r="D63">
        <v>-3.6128938461213007</v>
      </c>
      <c r="E63">
        <v>-0.41698399999999936</v>
      </c>
      <c r="F63">
        <v>1.0687999999999995</v>
      </c>
    </row>
    <row r="64" spans="1:6" x14ac:dyDescent="0.2">
      <c r="A64">
        <v>1</v>
      </c>
      <c r="B64">
        <v>0.67171769539078152</v>
      </c>
      <c r="C64">
        <v>8.5655000000000009E-2</v>
      </c>
      <c r="D64">
        <v>-3.4582172320859139</v>
      </c>
      <c r="E64">
        <v>-0.53830800000000067</v>
      </c>
      <c r="F64">
        <v>-0.26719999999999899</v>
      </c>
    </row>
    <row r="65" spans="1:6" x14ac:dyDescent="0.2">
      <c r="A65">
        <v>1</v>
      </c>
      <c r="B65">
        <v>0.65896132264529061</v>
      </c>
      <c r="C65">
        <v>8.0088333333333331E-2</v>
      </c>
      <c r="D65">
        <v>-3.1745981481124996</v>
      </c>
      <c r="E65">
        <v>-0.63654299999999608</v>
      </c>
      <c r="F65">
        <v>-0.66800000000000104</v>
      </c>
    </row>
    <row r="66" spans="1:6" x14ac:dyDescent="0.2">
      <c r="A66">
        <v>1</v>
      </c>
      <c r="B66">
        <v>0.64476537074148299</v>
      </c>
      <c r="C66">
        <v>8.7881666666666663E-2</v>
      </c>
      <c r="D66">
        <v>-3.4136988851515726</v>
      </c>
      <c r="E66">
        <v>-0.70837800000000328</v>
      </c>
      <c r="F66">
        <v>0.93520000000000003</v>
      </c>
    </row>
    <row r="67" spans="1:6" x14ac:dyDescent="0.2">
      <c r="A67">
        <v>1</v>
      </c>
      <c r="B67">
        <v>0.62856426853707414</v>
      </c>
      <c r="C67">
        <v>8.342833333333334E-2</v>
      </c>
      <c r="D67">
        <v>-3.1501268446028474</v>
      </c>
      <c r="E67">
        <v>-0.80843499999999935</v>
      </c>
      <c r="F67">
        <v>-0.53439999999999976</v>
      </c>
    </row>
    <row r="68" spans="1:6" x14ac:dyDescent="0.2">
      <c r="A68">
        <v>1</v>
      </c>
      <c r="B68">
        <v>0.61183490981963928</v>
      </c>
      <c r="C68">
        <v>8.0088333333333331E-2</v>
      </c>
      <c r="D68">
        <v>-2.9482512945887156</v>
      </c>
      <c r="E68">
        <v>-0.83479499999999973</v>
      </c>
      <c r="F68">
        <v>-0.40080000000000027</v>
      </c>
    </row>
    <row r="69" spans="1:6" x14ac:dyDescent="0.2">
      <c r="A69">
        <v>1</v>
      </c>
      <c r="B69">
        <v>0.59461212424849696</v>
      </c>
      <c r="C69">
        <v>8.8994999999999991E-2</v>
      </c>
      <c r="D69">
        <v>-3.1941232324099307</v>
      </c>
      <c r="E69">
        <v>-0.85941700000000054</v>
      </c>
      <c r="F69">
        <v>1.0687999999999995</v>
      </c>
    </row>
    <row r="70" spans="1:6" x14ac:dyDescent="0.2">
      <c r="A70">
        <v>1</v>
      </c>
      <c r="B70">
        <v>0.57693486973947894</v>
      </c>
      <c r="C70">
        <v>8.0088333333333331E-2</v>
      </c>
      <c r="D70">
        <v>-2.7806273702042468</v>
      </c>
      <c r="E70">
        <v>-0.88209499999999963</v>
      </c>
      <c r="F70">
        <v>-1.0687999999999995</v>
      </c>
    </row>
    <row r="71" spans="1:6" x14ac:dyDescent="0.2">
      <c r="A71">
        <v>1</v>
      </c>
      <c r="B71">
        <v>0.55971344689378755</v>
      </c>
      <c r="C71">
        <v>8.2314999999999999E-2</v>
      </c>
      <c r="D71">
        <v>-2.7691313153267076</v>
      </c>
      <c r="E71">
        <v>-0.85934900000000169</v>
      </c>
      <c r="F71">
        <v>0.26720000000000077</v>
      </c>
    </row>
    <row r="72" spans="1:6" x14ac:dyDescent="0.2">
      <c r="A72">
        <v>1</v>
      </c>
      <c r="B72">
        <v>0.54249208416833672</v>
      </c>
      <c r="C72">
        <v>9.0108333333333332E-2</v>
      </c>
      <c r="D72">
        <v>-2.9574785022314143</v>
      </c>
      <c r="E72">
        <v>-0.85934599999999861</v>
      </c>
      <c r="F72">
        <v>0.93520000000000003</v>
      </c>
    </row>
    <row r="73" spans="1:6" x14ac:dyDescent="0.2">
      <c r="A73">
        <v>1</v>
      </c>
      <c r="B73">
        <v>0.52427002004008016</v>
      </c>
      <c r="C73">
        <v>7.8975000000000004E-2</v>
      </c>
      <c r="D73">
        <v>-2.4955881402641835</v>
      </c>
      <c r="E73">
        <v>-0.90928100000000001</v>
      </c>
      <c r="F73">
        <v>-1.3360000000000003</v>
      </c>
    </row>
    <row r="74" spans="1:6" x14ac:dyDescent="0.2">
      <c r="A74">
        <v>1</v>
      </c>
      <c r="B74">
        <v>0.50606454909819631</v>
      </c>
      <c r="C74">
        <v>8.5655000000000009E-2</v>
      </c>
      <c r="D74">
        <v>-2.6079187154113606</v>
      </c>
      <c r="E74">
        <v>-0.90845300000000151</v>
      </c>
      <c r="F74">
        <v>0.80160000000000053</v>
      </c>
    </row>
    <row r="75" spans="1:6" x14ac:dyDescent="0.2">
      <c r="A75">
        <v>1</v>
      </c>
      <c r="B75">
        <v>0.48636833667334667</v>
      </c>
      <c r="C75">
        <v>8.5655000000000009E-2</v>
      </c>
      <c r="D75">
        <v>-2.5068179480321766</v>
      </c>
      <c r="E75">
        <v>-0.98284100000000052</v>
      </c>
      <c r="F75">
        <v>0</v>
      </c>
    </row>
    <row r="76" spans="1:6" x14ac:dyDescent="0.2">
      <c r="A76">
        <v>1</v>
      </c>
      <c r="B76">
        <v>0.46618056112224449</v>
      </c>
      <c r="C76">
        <v>8.0088333333333331E-2</v>
      </c>
      <c r="D76">
        <v>-2.2486774982193389</v>
      </c>
      <c r="E76">
        <v>-1.0073699999999981</v>
      </c>
      <c r="F76">
        <v>-0.66800000000000104</v>
      </c>
    </row>
    <row r="77" spans="1:6" x14ac:dyDescent="0.2">
      <c r="A77">
        <v>1</v>
      </c>
      <c r="B77">
        <v>0.44553539078156307</v>
      </c>
      <c r="C77">
        <v>8.8994999999999991E-2</v>
      </c>
      <c r="D77">
        <v>-2.3960062656910495</v>
      </c>
      <c r="E77">
        <v>-1.0301940000000016</v>
      </c>
      <c r="F77">
        <v>1.0687999999999995</v>
      </c>
    </row>
    <row r="78" spans="1:6" x14ac:dyDescent="0.2">
      <c r="A78">
        <v>1</v>
      </c>
      <c r="B78">
        <v>0.42584062124248501</v>
      </c>
      <c r="C78">
        <v>7.8975000000000004E-2</v>
      </c>
      <c r="D78">
        <v>-2.0288365485127815</v>
      </c>
      <c r="E78">
        <v>-0.98276899999999756</v>
      </c>
      <c r="F78">
        <v>-1.202399999999999</v>
      </c>
    </row>
    <row r="79" spans="1:6" x14ac:dyDescent="0.2">
      <c r="A79">
        <v>1</v>
      </c>
      <c r="B79">
        <v>0.40762150300601202</v>
      </c>
      <c r="C79">
        <v>8.7881666666666663E-2</v>
      </c>
      <c r="D79">
        <v>-2.1620351801315816</v>
      </c>
      <c r="E79">
        <v>-0.90913400000000166</v>
      </c>
      <c r="F79">
        <v>1.0687999999999995</v>
      </c>
    </row>
    <row r="80" spans="1:6" x14ac:dyDescent="0.2">
      <c r="A80">
        <v>1</v>
      </c>
      <c r="B80">
        <v>0.38894256513026054</v>
      </c>
      <c r="C80">
        <v>8.5655000000000009E-2</v>
      </c>
      <c r="D80">
        <v>-2.006730923529533</v>
      </c>
      <c r="E80">
        <v>-0.9320789999999981</v>
      </c>
      <c r="F80">
        <v>-0.26719999999999899</v>
      </c>
    </row>
    <row r="81" spans="1:6" x14ac:dyDescent="0.2">
      <c r="A81">
        <v>1</v>
      </c>
      <c r="B81">
        <v>0.37173831663326651</v>
      </c>
      <c r="C81">
        <v>7.8975000000000004E-2</v>
      </c>
      <c r="D81">
        <v>-1.772283759384206</v>
      </c>
      <c r="E81">
        <v>-0.85849200000000181</v>
      </c>
      <c r="F81">
        <v>-0.80160000000000053</v>
      </c>
    </row>
    <row r="82" spans="1:6" x14ac:dyDescent="0.2">
      <c r="A82">
        <v>1</v>
      </c>
      <c r="B82">
        <v>0.35502559118236471</v>
      </c>
      <c r="C82">
        <v>9.0108333333333332E-2</v>
      </c>
      <c r="D82">
        <v>-1.9392377272232504</v>
      </c>
      <c r="E82">
        <v>-0.83396499999999918</v>
      </c>
      <c r="F82">
        <v>1.3360000000000003</v>
      </c>
    </row>
    <row r="83" spans="1:6" x14ac:dyDescent="0.2">
      <c r="A83">
        <v>1</v>
      </c>
      <c r="B83">
        <v>0.34029274549098198</v>
      </c>
      <c r="C83">
        <v>8.0088333333333331E-2</v>
      </c>
      <c r="D83">
        <v>-1.64404181184669</v>
      </c>
      <c r="E83">
        <v>-0.73516899999999907</v>
      </c>
      <c r="F83">
        <v>-1.2024000000000008</v>
      </c>
    </row>
    <row r="84" spans="1:6" x14ac:dyDescent="0.2">
      <c r="A84">
        <v>1</v>
      </c>
      <c r="B84">
        <v>0.32700767535070141</v>
      </c>
      <c r="C84">
        <v>8.1201666666666658E-2</v>
      </c>
      <c r="D84">
        <v>-1.6008193412508043</v>
      </c>
      <c r="E84">
        <v>-0.66292500000000132</v>
      </c>
      <c r="F84">
        <v>0.1335999999999995</v>
      </c>
    </row>
    <row r="85" spans="1:6" x14ac:dyDescent="0.2">
      <c r="A85">
        <v>1</v>
      </c>
      <c r="B85">
        <v>0.31618280561122247</v>
      </c>
      <c r="C85">
        <v>8.8994999999999991E-2</v>
      </c>
      <c r="D85">
        <v>-1.70348711456344</v>
      </c>
      <c r="E85">
        <v>-0.54016099999999945</v>
      </c>
      <c r="F85">
        <v>0.93520000000000003</v>
      </c>
    </row>
    <row r="86" spans="1:6" x14ac:dyDescent="0.2">
      <c r="A86">
        <v>1</v>
      </c>
      <c r="B86">
        <v>0.30683404809619241</v>
      </c>
      <c r="C86">
        <v>7.8975000000000004E-2</v>
      </c>
      <c r="D86">
        <v>-1.4645081250593937</v>
      </c>
      <c r="E86">
        <v>-0.46650300000000122</v>
      </c>
      <c r="F86">
        <v>-1.202399999999999</v>
      </c>
    </row>
    <row r="87" spans="1:6" x14ac:dyDescent="0.2">
      <c r="A87">
        <v>1</v>
      </c>
      <c r="B87">
        <v>0.30041020040080163</v>
      </c>
      <c r="C87">
        <v>8.7881666666666663E-2</v>
      </c>
      <c r="D87">
        <v>-1.5961656195130207</v>
      </c>
      <c r="E87">
        <v>-0.320549999999999</v>
      </c>
      <c r="F87">
        <v>1.0687999999999995</v>
      </c>
    </row>
    <row r="88" spans="1:6" x14ac:dyDescent="0.2">
      <c r="A88">
        <v>1</v>
      </c>
      <c r="B88">
        <v>0.29400050100200403</v>
      </c>
      <c r="C88">
        <v>8.5655000000000009E-2</v>
      </c>
      <c r="D88">
        <v>-1.5193927829324996</v>
      </c>
      <c r="E88">
        <v>-0.3198439999999998</v>
      </c>
      <c r="F88">
        <v>-0.26719999999999899</v>
      </c>
    </row>
    <row r="89" spans="1:6" x14ac:dyDescent="0.2">
      <c r="A89">
        <v>1</v>
      </c>
      <c r="B89">
        <v>0.28862517034068136</v>
      </c>
      <c r="C89">
        <v>7.8975000000000004E-2</v>
      </c>
      <c r="D89">
        <v>-1.3781617409483986</v>
      </c>
      <c r="E89">
        <v>-0.26822900000000161</v>
      </c>
      <c r="F89">
        <v>-0.80160000000000053</v>
      </c>
    </row>
    <row r="90" spans="1:6" x14ac:dyDescent="0.2">
      <c r="A90">
        <v>1</v>
      </c>
      <c r="B90">
        <v>0.28370476953907819</v>
      </c>
      <c r="C90">
        <v>9.2335E-2</v>
      </c>
      <c r="D90">
        <v>-1.5983394246507769</v>
      </c>
      <c r="E90">
        <v>-0.24552799999999841</v>
      </c>
      <c r="F90">
        <v>1.6031999999999993</v>
      </c>
    </row>
    <row r="91" spans="1:6" x14ac:dyDescent="0.2">
      <c r="A91">
        <v>1</v>
      </c>
      <c r="B91">
        <v>0.27878438877755513</v>
      </c>
      <c r="C91">
        <v>8.2314999999999999E-2</v>
      </c>
      <c r="D91">
        <v>-1.3842189444982316</v>
      </c>
      <c r="E91">
        <v>-0.24552700000000094</v>
      </c>
      <c r="F91">
        <v>-1.202399999999999</v>
      </c>
    </row>
    <row r="92" spans="1:6" x14ac:dyDescent="0.2">
      <c r="A92">
        <v>1</v>
      </c>
      <c r="B92">
        <v>0.27435601202404808</v>
      </c>
      <c r="C92">
        <v>8.0088333333333331E-2</v>
      </c>
      <c r="D92">
        <v>-1.327349510077579</v>
      </c>
      <c r="E92">
        <v>-0.22097600000000028</v>
      </c>
      <c r="F92">
        <v>-0.26720000000000077</v>
      </c>
    </row>
    <row r="93" spans="1:6" x14ac:dyDescent="0.2">
      <c r="A93">
        <v>1</v>
      </c>
      <c r="B93">
        <v>0.27090200400801606</v>
      </c>
      <c r="C93">
        <v>8.8994999999999991E-2</v>
      </c>
      <c r="D93">
        <v>-1.4610658112138701</v>
      </c>
      <c r="E93">
        <v>-0.17235499999999959</v>
      </c>
      <c r="F93">
        <v>1.0687999999999995</v>
      </c>
    </row>
    <row r="94" spans="1:6" x14ac:dyDescent="0.2">
      <c r="A94">
        <v>1</v>
      </c>
      <c r="B94">
        <v>0.26842861723446898</v>
      </c>
      <c r="C94">
        <v>7.8975000000000004E-2</v>
      </c>
      <c r="D94">
        <v>-1.2823898127910291</v>
      </c>
      <c r="E94">
        <v>-0.1234219999999997</v>
      </c>
      <c r="F94">
        <v>-1.202399999999999</v>
      </c>
    </row>
    <row r="95" spans="1:6" x14ac:dyDescent="0.2">
      <c r="A95">
        <v>1</v>
      </c>
      <c r="B95">
        <v>0.26696715430861723</v>
      </c>
      <c r="C95">
        <v>8.7881666666666663E-2</v>
      </c>
      <c r="D95">
        <v>-1.4196506314653805</v>
      </c>
      <c r="E95">
        <v>-7.2926999999999964E-2</v>
      </c>
      <c r="F95">
        <v>1.0687999999999995</v>
      </c>
    </row>
    <row r="96" spans="1:6" x14ac:dyDescent="0.2">
      <c r="A96">
        <v>1</v>
      </c>
      <c r="B96">
        <v>0.26648929859719439</v>
      </c>
      <c r="C96">
        <v>8.7881666666666663E-2</v>
      </c>
      <c r="D96">
        <v>-1.4171284720018615</v>
      </c>
      <c r="E96">
        <v>-2.3844999999999672E-2</v>
      </c>
      <c r="F96">
        <v>0</v>
      </c>
    </row>
    <row r="97" spans="1:6" x14ac:dyDescent="0.2">
      <c r="A97">
        <v>1</v>
      </c>
      <c r="B97">
        <v>0.26650248496993989</v>
      </c>
      <c r="C97">
        <v>7.8975000000000004E-2</v>
      </c>
      <c r="D97">
        <v>-1.2732561056732872</v>
      </c>
      <c r="E97">
        <v>6.5799999999960335E-4</v>
      </c>
      <c r="F97">
        <v>-1.0687999999999995</v>
      </c>
    </row>
    <row r="98" spans="1:6" x14ac:dyDescent="0.2">
      <c r="A98">
        <v>1</v>
      </c>
      <c r="B98">
        <v>0.26700771543086177</v>
      </c>
      <c r="C98">
        <v>8.7881666666666663E-2</v>
      </c>
      <c r="D98">
        <v>-1.4198647162107847</v>
      </c>
      <c r="E98">
        <v>2.5211000000000539E-2</v>
      </c>
      <c r="F98">
        <v>1.0687999999999995</v>
      </c>
    </row>
    <row r="99" spans="1:6" x14ac:dyDescent="0.2">
      <c r="A99">
        <v>1</v>
      </c>
      <c r="B99">
        <v>0.26648983967935874</v>
      </c>
      <c r="C99">
        <v>8.0088333333333331E-2</v>
      </c>
      <c r="D99">
        <v>-1.2895685025121759</v>
      </c>
      <c r="E99">
        <v>-2.5842000000000809E-2</v>
      </c>
      <c r="F99">
        <v>-0.93520000000000003</v>
      </c>
    </row>
    <row r="100" spans="1:6" x14ac:dyDescent="0.2">
      <c r="A100">
        <v>1</v>
      </c>
      <c r="B100">
        <v>0.26698140280561122</v>
      </c>
      <c r="C100">
        <v>8.1201666666666658E-2</v>
      </c>
      <c r="D100">
        <v>-1.3087591411688995</v>
      </c>
      <c r="E100">
        <v>2.4528999999999357E-2</v>
      </c>
      <c r="F100">
        <v>0.1335999999999995</v>
      </c>
    </row>
    <row r="101" spans="1:6" x14ac:dyDescent="0.2">
      <c r="A101">
        <v>1</v>
      </c>
      <c r="B101">
        <v>0.26648983967935874</v>
      </c>
      <c r="C101">
        <v>8.7881666666666663E-2</v>
      </c>
      <c r="D101">
        <v>-1.4171313278754416</v>
      </c>
      <c r="E101">
        <v>-2.4528999999999357E-2</v>
      </c>
      <c r="F101">
        <v>0.80160000000000053</v>
      </c>
    </row>
    <row r="102" spans="1:6" x14ac:dyDescent="0.2">
      <c r="A102">
        <v>1</v>
      </c>
      <c r="B102">
        <v>0.26698140280561122</v>
      </c>
      <c r="C102">
        <v>7.8975000000000004E-2</v>
      </c>
      <c r="D102">
        <v>-1.2755271310462795</v>
      </c>
      <c r="E102">
        <v>2.4528999999999357E-2</v>
      </c>
      <c r="F102">
        <v>-1.0687999999999995</v>
      </c>
    </row>
    <row r="103" spans="1:6" x14ac:dyDescent="0.2">
      <c r="A103">
        <v>1</v>
      </c>
      <c r="B103">
        <v>0.26698140280561122</v>
      </c>
      <c r="C103">
        <v>9.0108333333333332E-2</v>
      </c>
      <c r="D103">
        <v>-1.4610179601610973</v>
      </c>
      <c r="E103">
        <v>0</v>
      </c>
      <c r="F103">
        <v>1.3360000000000003</v>
      </c>
    </row>
    <row r="104" spans="1:6" x14ac:dyDescent="0.2">
      <c r="A104">
        <v>1</v>
      </c>
      <c r="B104">
        <v>0.26698140280561122</v>
      </c>
      <c r="C104">
        <v>8.342833333333334E-2</v>
      </c>
      <c r="D104">
        <v>-1.3437690967703182</v>
      </c>
      <c r="E104">
        <v>0</v>
      </c>
      <c r="F104">
        <v>-0.80160000000000053</v>
      </c>
    </row>
    <row r="105" spans="1:6" x14ac:dyDescent="0.2">
      <c r="A105">
        <v>1</v>
      </c>
      <c r="B105">
        <v>0.26696821643286572</v>
      </c>
      <c r="C105">
        <v>8.0088333333333331E-2</v>
      </c>
      <c r="D105">
        <v>-1.2918661327891889</v>
      </c>
      <c r="E105">
        <v>-6.5799999999960335E-4</v>
      </c>
      <c r="F105">
        <v>-0.40080000000000027</v>
      </c>
    </row>
    <row r="106" spans="1:6" x14ac:dyDescent="0.2">
      <c r="A106">
        <v>1</v>
      </c>
      <c r="B106">
        <v>0.26744657314629261</v>
      </c>
      <c r="C106">
        <v>9.0108333333333332E-2</v>
      </c>
      <c r="D106">
        <v>-1.4635445738543595</v>
      </c>
      <c r="E106">
        <v>2.3870000000000502E-2</v>
      </c>
      <c r="F106">
        <v>1.2024000000000008</v>
      </c>
    </row>
    <row r="107" spans="1:6" x14ac:dyDescent="0.2">
      <c r="A107">
        <v>1</v>
      </c>
      <c r="B107">
        <v>0.26696867735470942</v>
      </c>
      <c r="C107">
        <v>7.8975000000000004E-2</v>
      </c>
      <c r="D107">
        <v>-1.275466787037917</v>
      </c>
      <c r="E107">
        <v>-2.3846999999999952E-2</v>
      </c>
      <c r="F107">
        <v>-1.3360000000000003</v>
      </c>
    </row>
    <row r="108" spans="1:6" x14ac:dyDescent="0.2">
      <c r="A108">
        <v>1</v>
      </c>
      <c r="B108">
        <v>0.2674602204408818</v>
      </c>
      <c r="C108">
        <v>8.6768333333333336E-2</v>
      </c>
      <c r="D108">
        <v>-1.4024348651411169</v>
      </c>
      <c r="E108">
        <v>2.4528000000000105E-2</v>
      </c>
      <c r="F108">
        <v>0.93520000000000003</v>
      </c>
    </row>
    <row r="109" spans="1:6" x14ac:dyDescent="0.2">
      <c r="A109">
        <v>1</v>
      </c>
      <c r="B109">
        <v>0.2674602204408818</v>
      </c>
      <c r="C109">
        <v>8.6768333333333336E-2</v>
      </c>
      <c r="D109">
        <v>-1.4024348651411169</v>
      </c>
      <c r="E109">
        <v>0</v>
      </c>
      <c r="F109">
        <v>0</v>
      </c>
    </row>
    <row r="110" spans="1:6" x14ac:dyDescent="0.2">
      <c r="A110">
        <v>1</v>
      </c>
      <c r="B110">
        <v>0.26744653306613225</v>
      </c>
      <c r="C110">
        <v>7.8975000000000004E-2</v>
      </c>
      <c r="D110">
        <v>-1.2777327758243846</v>
      </c>
      <c r="E110">
        <v>-6.8300000000043326E-4</v>
      </c>
      <c r="F110">
        <v>-0.93520000000000003</v>
      </c>
    </row>
    <row r="111" spans="1:6" x14ac:dyDescent="0.2">
      <c r="A111">
        <v>1</v>
      </c>
      <c r="B111">
        <v>0.26744653306613225</v>
      </c>
      <c r="C111">
        <v>8.7881666666666663E-2</v>
      </c>
      <c r="D111">
        <v>-1.4221808296841616</v>
      </c>
      <c r="E111">
        <v>0</v>
      </c>
      <c r="F111">
        <v>1.0687999999999995</v>
      </c>
    </row>
    <row r="112" spans="1:6" x14ac:dyDescent="0.2">
      <c r="A112">
        <v>1</v>
      </c>
      <c r="B112">
        <v>0.26788402805611222</v>
      </c>
      <c r="C112">
        <v>7.8975000000000004E-2</v>
      </c>
      <c r="D112">
        <v>-1.2798073743229117</v>
      </c>
      <c r="E112">
        <v>2.18310000000006E-2</v>
      </c>
      <c r="F112">
        <v>-1.0687999999999995</v>
      </c>
    </row>
    <row r="113" spans="1:6" x14ac:dyDescent="0.2">
      <c r="A113">
        <v>1</v>
      </c>
      <c r="B113">
        <v>0.26789719438877757</v>
      </c>
      <c r="C113">
        <v>8.7881666666666663E-2</v>
      </c>
      <c r="D113">
        <v>-1.4245594550570118</v>
      </c>
      <c r="E113">
        <v>6.5700000000035175E-4</v>
      </c>
      <c r="F113">
        <v>1.0687999999999995</v>
      </c>
    </row>
    <row r="114" spans="1:6" x14ac:dyDescent="0.2">
      <c r="A114">
        <v>1</v>
      </c>
      <c r="B114">
        <v>0.26791038076152307</v>
      </c>
      <c r="C114">
        <v>8.6768333333333336E-2</v>
      </c>
      <c r="D114">
        <v>-1.4047777383758528</v>
      </c>
      <c r="E114">
        <v>6.5799999999960335E-4</v>
      </c>
      <c r="F114">
        <v>-0.1335999999999995</v>
      </c>
    </row>
    <row r="115" spans="1:6" x14ac:dyDescent="0.2">
      <c r="A115">
        <v>1</v>
      </c>
      <c r="B115">
        <v>0.26840240480961924</v>
      </c>
      <c r="C115">
        <v>7.8975000000000004E-2</v>
      </c>
      <c r="D115">
        <v>-1.2822655136367958</v>
      </c>
      <c r="E115">
        <v>2.4551999999999907E-2</v>
      </c>
      <c r="F115">
        <v>-0.93520000000000003</v>
      </c>
    </row>
    <row r="116" spans="1:6" x14ac:dyDescent="0.2">
      <c r="A116">
        <v>1</v>
      </c>
      <c r="B116">
        <v>0.26791038076152307</v>
      </c>
      <c r="C116">
        <v>8.7881666666666663E-2</v>
      </c>
      <c r="D116">
        <v>-1.4246290537538873</v>
      </c>
      <c r="E116">
        <v>-2.4551999999999907E-2</v>
      </c>
      <c r="F116">
        <v>1.0687999999999995</v>
      </c>
    </row>
    <row r="117" spans="1:6" x14ac:dyDescent="0.2">
      <c r="A117">
        <v>1</v>
      </c>
      <c r="B117">
        <v>0.26791038076152307</v>
      </c>
      <c r="C117">
        <v>8.5655000000000009E-2</v>
      </c>
      <c r="D117">
        <v>-1.3854720513506287</v>
      </c>
      <c r="E117">
        <v>0</v>
      </c>
      <c r="F117">
        <v>-0.26719999999999899</v>
      </c>
    </row>
    <row r="118" spans="1:6" x14ac:dyDescent="0.2">
      <c r="A118">
        <v>1</v>
      </c>
      <c r="B118">
        <v>0.26789669338677358</v>
      </c>
      <c r="C118">
        <v>7.8975000000000004E-2</v>
      </c>
      <c r="D118">
        <v>-1.279867433241471</v>
      </c>
      <c r="E118">
        <v>-6.8300000000043326E-4</v>
      </c>
      <c r="F118">
        <v>-0.80160000000000053</v>
      </c>
    </row>
    <row r="119" spans="1:6" x14ac:dyDescent="0.2">
      <c r="A119">
        <v>1</v>
      </c>
      <c r="B119">
        <v>0.26792300601202407</v>
      </c>
      <c r="C119">
        <v>8.8994999999999991E-2</v>
      </c>
      <c r="D119">
        <v>-1.4451170525502648</v>
      </c>
      <c r="E119">
        <v>1.3129999999996755E-3</v>
      </c>
      <c r="F119">
        <v>1.202399999999999</v>
      </c>
    </row>
    <row r="120" spans="1:6" x14ac:dyDescent="0.2">
      <c r="A120">
        <v>1</v>
      </c>
      <c r="B120">
        <v>0.26744464929859718</v>
      </c>
      <c r="C120">
        <v>8.0088333333333331E-2</v>
      </c>
      <c r="D120">
        <v>-1.2941544266271392</v>
      </c>
      <c r="E120">
        <v>-2.3870000000000502E-2</v>
      </c>
      <c r="F120">
        <v>-1.0687999999999995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E4E67-05EE-D64F-9A51-26D05B8F8EE6}">
  <sheetPr codeName="Sheet2"/>
  <dimension ref="A1:C86"/>
  <sheetViews>
    <sheetView workbookViewId="0">
      <selection activeCell="H4" sqref="H4"/>
    </sheetView>
  </sheetViews>
  <sheetFormatPr baseColWidth="10" defaultRowHeight="16" x14ac:dyDescent="0.2"/>
  <cols>
    <col min="1" max="1" width="21.33203125" customWidth="1"/>
  </cols>
  <sheetData>
    <row r="1" spans="1:3" x14ac:dyDescent="0.2">
      <c r="A1" s="2" t="s">
        <v>17</v>
      </c>
      <c r="B1" s="2" t="s">
        <v>18</v>
      </c>
      <c r="C1" s="2" t="s">
        <v>18</v>
      </c>
    </row>
    <row r="2" spans="1:3" x14ac:dyDescent="0.2">
      <c r="A2" t="s">
        <v>72</v>
      </c>
      <c r="B2">
        <v>0.1</v>
      </c>
      <c r="C2">
        <v>-20</v>
      </c>
    </row>
    <row r="3" spans="1:3" x14ac:dyDescent="0.2">
      <c r="B3">
        <v>50</v>
      </c>
      <c r="C3">
        <v>100</v>
      </c>
    </row>
    <row r="4" spans="1:3" x14ac:dyDescent="0.2">
      <c r="A4" t="s">
        <v>11</v>
      </c>
      <c r="B4" t="s">
        <v>0</v>
      </c>
      <c r="C4" t="s">
        <v>1</v>
      </c>
    </row>
    <row r="5" spans="1:3" x14ac:dyDescent="0.2">
      <c r="A5">
        <v>1715869803</v>
      </c>
      <c r="B5">
        <v>9.6543329999999994</v>
      </c>
      <c r="C5">
        <v>-9.4542000000000002</v>
      </c>
    </row>
    <row r="6" spans="1:3" x14ac:dyDescent="0.2">
      <c r="A6">
        <v>1715869804</v>
      </c>
      <c r="B6">
        <v>13.746902</v>
      </c>
      <c r="C6">
        <v>-10.3894</v>
      </c>
    </row>
    <row r="7" spans="1:3" x14ac:dyDescent="0.2">
      <c r="A7">
        <v>1715869805</v>
      </c>
      <c r="B7">
        <v>16.688932000000001</v>
      </c>
      <c r="C7">
        <v>-9.1869999999999994</v>
      </c>
    </row>
    <row r="8" spans="1:3" x14ac:dyDescent="0.2">
      <c r="A8">
        <v>1715869806</v>
      </c>
      <c r="B8">
        <v>19.035855999999999</v>
      </c>
      <c r="C8">
        <v>-9.8550000000000004</v>
      </c>
    </row>
    <row r="9" spans="1:3" x14ac:dyDescent="0.2">
      <c r="A9">
        <v>1715869807</v>
      </c>
      <c r="B9">
        <v>20.811529</v>
      </c>
      <c r="C9">
        <v>-10.3894</v>
      </c>
    </row>
    <row r="10" spans="1:3" x14ac:dyDescent="0.2">
      <c r="A10">
        <v>1715869808</v>
      </c>
      <c r="B10">
        <v>22.308948999999998</v>
      </c>
      <c r="C10">
        <v>-9.1869999999999994</v>
      </c>
    </row>
    <row r="11" spans="1:3" x14ac:dyDescent="0.2">
      <c r="A11">
        <v>1715869809</v>
      </c>
      <c r="B11">
        <v>23.515917000000002</v>
      </c>
      <c r="C11">
        <v>-10.523</v>
      </c>
    </row>
    <row r="12" spans="1:3" x14ac:dyDescent="0.2">
      <c r="A12">
        <v>1715869810</v>
      </c>
      <c r="B12">
        <v>24.534390999999999</v>
      </c>
      <c r="C12">
        <v>-9.3206000000000007</v>
      </c>
    </row>
    <row r="13" spans="1:3" x14ac:dyDescent="0.2">
      <c r="A13">
        <v>1715869811</v>
      </c>
      <c r="B13">
        <v>25.374935000000001</v>
      </c>
      <c r="C13">
        <v>-10.3894</v>
      </c>
    </row>
    <row r="14" spans="1:3" x14ac:dyDescent="0.2">
      <c r="A14">
        <v>1715869812</v>
      </c>
      <c r="B14">
        <v>26.105812</v>
      </c>
      <c r="C14">
        <v>-10.3894</v>
      </c>
    </row>
    <row r="15" spans="1:3" x14ac:dyDescent="0.2">
      <c r="A15">
        <v>1715869813</v>
      </c>
      <c r="B15">
        <v>26.712413999999999</v>
      </c>
      <c r="C15">
        <v>-9.1869999999999994</v>
      </c>
    </row>
    <row r="16" spans="1:3" x14ac:dyDescent="0.2">
      <c r="A16">
        <v>1715869814</v>
      </c>
      <c r="B16">
        <v>27.276506000000001</v>
      </c>
      <c r="C16">
        <v>-10.523</v>
      </c>
    </row>
    <row r="17" spans="1:3" x14ac:dyDescent="0.2">
      <c r="A17">
        <v>1715869815</v>
      </c>
      <c r="B17">
        <v>27.725366999999999</v>
      </c>
      <c r="C17">
        <v>-9.8550000000000004</v>
      </c>
    </row>
    <row r="18" spans="1:3" x14ac:dyDescent="0.2">
      <c r="A18">
        <v>1715869816</v>
      </c>
      <c r="B18">
        <v>28.101133000000001</v>
      </c>
      <c r="C18">
        <v>-9.4542000000000002</v>
      </c>
    </row>
    <row r="19" spans="1:3" x14ac:dyDescent="0.2">
      <c r="A19">
        <v>1715869817</v>
      </c>
      <c r="B19">
        <v>28.439323000000002</v>
      </c>
      <c r="C19">
        <v>-10.523</v>
      </c>
    </row>
    <row r="20" spans="1:3" x14ac:dyDescent="0.2">
      <c r="A20">
        <v>1715869818</v>
      </c>
      <c r="B20">
        <v>29.937237</v>
      </c>
      <c r="C20">
        <v>-9.5877999999999997</v>
      </c>
    </row>
    <row r="21" spans="1:3" x14ac:dyDescent="0.2">
      <c r="A21">
        <v>1715869819</v>
      </c>
      <c r="B21">
        <v>31.385849</v>
      </c>
      <c r="C21">
        <v>-9.5877999999999997</v>
      </c>
    </row>
    <row r="22" spans="1:3" x14ac:dyDescent="0.2">
      <c r="A22">
        <v>1715869820</v>
      </c>
      <c r="B22">
        <v>32.785358000000002</v>
      </c>
      <c r="C22">
        <v>-9.5877999999999997</v>
      </c>
    </row>
    <row r="23" spans="1:3" x14ac:dyDescent="0.2">
      <c r="A23">
        <v>1715869821</v>
      </c>
      <c r="B23">
        <v>34.10989</v>
      </c>
      <c r="C23">
        <v>-10.523</v>
      </c>
    </row>
    <row r="24" spans="1:3" x14ac:dyDescent="0.2">
      <c r="A24">
        <v>1715869822</v>
      </c>
      <c r="B24">
        <v>35.387000999999998</v>
      </c>
      <c r="C24">
        <v>-9.3206000000000007</v>
      </c>
    </row>
    <row r="25" spans="1:3" x14ac:dyDescent="0.2">
      <c r="A25">
        <v>1715869823</v>
      </c>
      <c r="B25">
        <v>35.607975000000003</v>
      </c>
      <c r="C25">
        <v>-9.9885999999999999</v>
      </c>
    </row>
    <row r="26" spans="1:3" x14ac:dyDescent="0.2">
      <c r="A26">
        <v>1715869824</v>
      </c>
      <c r="B26">
        <v>35.287205</v>
      </c>
      <c r="C26">
        <v>-10.3894</v>
      </c>
    </row>
    <row r="27" spans="1:3" x14ac:dyDescent="0.2">
      <c r="A27">
        <v>1715869825</v>
      </c>
      <c r="B27">
        <v>34.968333999999999</v>
      </c>
      <c r="C27">
        <v>-9.3206000000000007</v>
      </c>
    </row>
    <row r="28" spans="1:3" x14ac:dyDescent="0.2">
      <c r="A28">
        <v>1715869826</v>
      </c>
      <c r="B28">
        <v>34.574005</v>
      </c>
      <c r="C28">
        <v>-10.523</v>
      </c>
    </row>
    <row r="29" spans="1:3" x14ac:dyDescent="0.2">
      <c r="A29">
        <v>1715869827</v>
      </c>
      <c r="B29">
        <v>34.157021</v>
      </c>
      <c r="C29">
        <v>-9.4542000000000002</v>
      </c>
    </row>
    <row r="30" spans="1:3" x14ac:dyDescent="0.2">
      <c r="A30">
        <v>1715869828</v>
      </c>
      <c r="B30">
        <v>33.618713</v>
      </c>
      <c r="C30">
        <v>-9.7213999999999992</v>
      </c>
    </row>
    <row r="31" spans="1:3" x14ac:dyDescent="0.2">
      <c r="A31">
        <v>1715869829</v>
      </c>
      <c r="B31">
        <v>32.982170000000004</v>
      </c>
      <c r="C31">
        <v>-10.3894</v>
      </c>
    </row>
    <row r="32" spans="1:3" x14ac:dyDescent="0.2">
      <c r="A32">
        <v>1715869830</v>
      </c>
      <c r="B32">
        <v>32.273792</v>
      </c>
      <c r="C32">
        <v>-9.4542000000000002</v>
      </c>
    </row>
    <row r="33" spans="1:3" x14ac:dyDescent="0.2">
      <c r="A33">
        <v>1715869831</v>
      </c>
      <c r="B33">
        <v>31.465357000000001</v>
      </c>
      <c r="C33">
        <v>-9.9885999999999999</v>
      </c>
    </row>
    <row r="34" spans="1:3" x14ac:dyDescent="0.2">
      <c r="A34">
        <v>1715869832</v>
      </c>
      <c r="B34">
        <v>30.630562000000001</v>
      </c>
      <c r="C34">
        <v>-10.3894</v>
      </c>
    </row>
    <row r="35" spans="1:3" x14ac:dyDescent="0.2">
      <c r="A35">
        <v>1715869833</v>
      </c>
      <c r="B35">
        <v>29.771145000000001</v>
      </c>
      <c r="C35">
        <v>-9.3206000000000007</v>
      </c>
    </row>
    <row r="36" spans="1:3" x14ac:dyDescent="0.2">
      <c r="A36">
        <v>1715869834</v>
      </c>
      <c r="B36">
        <v>28.889050000000001</v>
      </c>
      <c r="C36">
        <v>-10.3894</v>
      </c>
    </row>
    <row r="37" spans="1:3" x14ac:dyDescent="0.2">
      <c r="A37">
        <v>1715869835</v>
      </c>
      <c r="B37">
        <v>28.029700999999999</v>
      </c>
      <c r="C37">
        <v>-10.122199999999999</v>
      </c>
    </row>
    <row r="38" spans="1:3" x14ac:dyDescent="0.2">
      <c r="A38">
        <v>1715869836</v>
      </c>
      <c r="B38">
        <v>27.170355000000001</v>
      </c>
      <c r="C38">
        <v>-9.1869999999999994</v>
      </c>
    </row>
    <row r="39" spans="1:3" x14ac:dyDescent="0.2">
      <c r="A39">
        <v>1715869837</v>
      </c>
      <c r="B39">
        <v>26.261074000000001</v>
      </c>
      <c r="C39">
        <v>-10.523</v>
      </c>
    </row>
    <row r="40" spans="1:3" x14ac:dyDescent="0.2">
      <c r="A40">
        <v>1715869838</v>
      </c>
      <c r="B40">
        <v>25.352620999999999</v>
      </c>
      <c r="C40">
        <v>-9.7213999999999992</v>
      </c>
    </row>
    <row r="41" spans="1:3" x14ac:dyDescent="0.2">
      <c r="A41">
        <v>1715869839</v>
      </c>
      <c r="B41">
        <v>24.369779999999999</v>
      </c>
      <c r="C41">
        <v>-9.7213999999999992</v>
      </c>
    </row>
    <row r="42" spans="1:3" x14ac:dyDescent="0.2">
      <c r="A42">
        <v>1715869840</v>
      </c>
      <c r="B42">
        <v>23.362410000000001</v>
      </c>
      <c r="C42">
        <v>-10.3894</v>
      </c>
    </row>
    <row r="43" spans="1:3" x14ac:dyDescent="0.2">
      <c r="A43">
        <v>1715869841</v>
      </c>
      <c r="B43">
        <v>22.332215999999999</v>
      </c>
      <c r="C43">
        <v>-9.3206000000000007</v>
      </c>
    </row>
    <row r="44" spans="1:3" x14ac:dyDescent="0.2">
      <c r="A44">
        <v>1715869842</v>
      </c>
      <c r="B44">
        <v>21.349447000000001</v>
      </c>
      <c r="C44">
        <v>-10.523</v>
      </c>
    </row>
    <row r="45" spans="1:3" x14ac:dyDescent="0.2">
      <c r="A45">
        <v>1715869843</v>
      </c>
      <c r="B45">
        <v>20.440313</v>
      </c>
      <c r="C45">
        <v>-9.4542000000000002</v>
      </c>
    </row>
    <row r="46" spans="1:3" x14ac:dyDescent="0.2">
      <c r="A46">
        <v>1715869844</v>
      </c>
      <c r="B46">
        <v>19.508234000000002</v>
      </c>
      <c r="C46">
        <v>-9.7213999999999992</v>
      </c>
    </row>
    <row r="47" spans="1:3" x14ac:dyDescent="0.2">
      <c r="A47">
        <v>1715869845</v>
      </c>
      <c r="B47">
        <v>18.649742</v>
      </c>
      <c r="C47">
        <v>-10.523</v>
      </c>
    </row>
    <row r="48" spans="1:3" x14ac:dyDescent="0.2">
      <c r="A48">
        <v>1715869846</v>
      </c>
      <c r="B48">
        <v>17.815777000000001</v>
      </c>
      <c r="C48">
        <v>-9.1869999999999994</v>
      </c>
    </row>
    <row r="49" spans="1:3" x14ac:dyDescent="0.2">
      <c r="A49">
        <v>1715869847</v>
      </c>
      <c r="B49">
        <v>17.080608000000002</v>
      </c>
      <c r="C49">
        <v>-10.3894</v>
      </c>
    </row>
    <row r="50" spans="1:3" x14ac:dyDescent="0.2">
      <c r="A50">
        <v>1715869848</v>
      </c>
      <c r="B50">
        <v>16.417683</v>
      </c>
      <c r="C50">
        <v>-10.255800000000001</v>
      </c>
    </row>
    <row r="51" spans="1:3" x14ac:dyDescent="0.2">
      <c r="A51">
        <v>1715869849</v>
      </c>
      <c r="B51">
        <v>15.877522000000001</v>
      </c>
      <c r="C51">
        <v>-9.3206000000000007</v>
      </c>
    </row>
    <row r="52" spans="1:3" x14ac:dyDescent="0.2">
      <c r="A52">
        <v>1715869850</v>
      </c>
      <c r="B52">
        <v>15.411019</v>
      </c>
      <c r="C52">
        <v>-10.523</v>
      </c>
    </row>
    <row r="53" spans="1:3" x14ac:dyDescent="0.2">
      <c r="A53">
        <v>1715869851</v>
      </c>
      <c r="B53">
        <v>15.090469000000001</v>
      </c>
      <c r="C53">
        <v>-9.4542000000000002</v>
      </c>
    </row>
    <row r="54" spans="1:3" x14ac:dyDescent="0.2">
      <c r="A54">
        <v>1715869852</v>
      </c>
      <c r="B54">
        <v>14.770625000000001</v>
      </c>
      <c r="C54">
        <v>-9.7213999999999992</v>
      </c>
    </row>
    <row r="55" spans="1:3" x14ac:dyDescent="0.2">
      <c r="A55">
        <v>1715869853</v>
      </c>
      <c r="B55">
        <v>14.502395999999999</v>
      </c>
      <c r="C55">
        <v>-10.523</v>
      </c>
    </row>
    <row r="56" spans="1:3" x14ac:dyDescent="0.2">
      <c r="A56">
        <v>1715869854</v>
      </c>
      <c r="B56">
        <v>14.256868000000001</v>
      </c>
      <c r="C56">
        <v>-8.9198000000000004</v>
      </c>
    </row>
    <row r="57" spans="1:3" x14ac:dyDescent="0.2">
      <c r="A57">
        <v>1715869855</v>
      </c>
      <c r="B57">
        <v>14.011341</v>
      </c>
      <c r="C57">
        <v>-10.122199999999999</v>
      </c>
    </row>
    <row r="58" spans="1:3" x14ac:dyDescent="0.2">
      <c r="A58">
        <v>1715869856</v>
      </c>
      <c r="B58">
        <v>13.790365</v>
      </c>
      <c r="C58">
        <v>-10.3894</v>
      </c>
    </row>
    <row r="59" spans="1:3" x14ac:dyDescent="0.2">
      <c r="A59">
        <v>1715869857</v>
      </c>
      <c r="B59">
        <v>13.61801</v>
      </c>
      <c r="C59">
        <v>-9.3206000000000007</v>
      </c>
    </row>
    <row r="60" spans="1:3" x14ac:dyDescent="0.2">
      <c r="A60">
        <v>1715869858</v>
      </c>
      <c r="B60">
        <v>13.494588</v>
      </c>
      <c r="C60">
        <v>-10.523</v>
      </c>
    </row>
    <row r="61" spans="1:3" x14ac:dyDescent="0.2">
      <c r="A61">
        <v>1715869859</v>
      </c>
      <c r="B61">
        <v>13.421661</v>
      </c>
      <c r="C61">
        <v>-9.4542000000000002</v>
      </c>
    </row>
    <row r="62" spans="1:3" x14ac:dyDescent="0.2">
      <c r="A62">
        <v>1715869860</v>
      </c>
      <c r="B62">
        <v>13.397816000000001</v>
      </c>
      <c r="C62">
        <v>-9.4542000000000002</v>
      </c>
    </row>
    <row r="63" spans="1:3" x14ac:dyDescent="0.2">
      <c r="A63">
        <v>1715869861</v>
      </c>
      <c r="B63">
        <v>13.398474</v>
      </c>
      <c r="C63">
        <v>-10.523</v>
      </c>
    </row>
    <row r="64" spans="1:3" x14ac:dyDescent="0.2">
      <c r="A64">
        <v>1715869862</v>
      </c>
      <c r="B64">
        <v>13.423685000000001</v>
      </c>
      <c r="C64">
        <v>-9.4542000000000002</v>
      </c>
    </row>
    <row r="65" spans="1:3" x14ac:dyDescent="0.2">
      <c r="A65">
        <v>1715869863</v>
      </c>
      <c r="B65">
        <v>13.397843</v>
      </c>
      <c r="C65">
        <v>-10.3894</v>
      </c>
    </row>
    <row r="66" spans="1:3" x14ac:dyDescent="0.2">
      <c r="A66">
        <v>1715869864</v>
      </c>
      <c r="B66">
        <v>13.422371999999999</v>
      </c>
      <c r="C66">
        <v>-10.255800000000001</v>
      </c>
    </row>
    <row r="67" spans="1:3" x14ac:dyDescent="0.2">
      <c r="A67">
        <v>1715869865</v>
      </c>
      <c r="B67">
        <v>13.397843</v>
      </c>
      <c r="C67">
        <v>-9.4542000000000002</v>
      </c>
    </row>
    <row r="68" spans="1:3" x14ac:dyDescent="0.2">
      <c r="A68">
        <v>1715869866</v>
      </c>
      <c r="B68">
        <v>13.422371999999999</v>
      </c>
      <c r="C68">
        <v>-10.523</v>
      </c>
    </row>
    <row r="69" spans="1:3" x14ac:dyDescent="0.2">
      <c r="A69">
        <v>1715869867</v>
      </c>
      <c r="B69">
        <v>13.422371999999999</v>
      </c>
      <c r="C69">
        <v>-9.1869999999999994</v>
      </c>
    </row>
    <row r="70" spans="1:3" x14ac:dyDescent="0.2">
      <c r="A70">
        <v>1715869868</v>
      </c>
      <c r="B70">
        <v>13.422371999999999</v>
      </c>
      <c r="C70">
        <v>-9.9885999999999999</v>
      </c>
    </row>
    <row r="71" spans="1:3" x14ac:dyDescent="0.2">
      <c r="A71">
        <v>1715869869</v>
      </c>
      <c r="B71">
        <v>13.421714</v>
      </c>
      <c r="C71">
        <v>-10.3894</v>
      </c>
    </row>
    <row r="72" spans="1:3" x14ac:dyDescent="0.2">
      <c r="A72">
        <v>1715869870</v>
      </c>
      <c r="B72">
        <v>13.445584</v>
      </c>
      <c r="C72">
        <v>-9.1869999999999994</v>
      </c>
    </row>
    <row r="73" spans="1:3" x14ac:dyDescent="0.2">
      <c r="A73">
        <v>1715869871</v>
      </c>
      <c r="B73">
        <v>13.421737</v>
      </c>
      <c r="C73">
        <v>-10.523</v>
      </c>
    </row>
    <row r="74" spans="1:3" x14ac:dyDescent="0.2">
      <c r="A74">
        <v>1715869872</v>
      </c>
      <c r="B74">
        <v>13.446265</v>
      </c>
      <c r="C74">
        <v>-9.5877999999999997</v>
      </c>
    </row>
    <row r="75" spans="1:3" x14ac:dyDescent="0.2">
      <c r="A75">
        <v>1715869873</v>
      </c>
      <c r="B75">
        <v>13.446265</v>
      </c>
      <c r="C75">
        <v>-9.5877999999999997</v>
      </c>
    </row>
    <row r="76" spans="1:3" x14ac:dyDescent="0.2">
      <c r="A76">
        <v>1715869874</v>
      </c>
      <c r="B76">
        <v>13.445582</v>
      </c>
      <c r="C76">
        <v>-10.523</v>
      </c>
    </row>
    <row r="77" spans="1:3" x14ac:dyDescent="0.2">
      <c r="A77">
        <v>1715869875</v>
      </c>
      <c r="B77">
        <v>13.445582</v>
      </c>
      <c r="C77">
        <v>-9.4542000000000002</v>
      </c>
    </row>
    <row r="78" spans="1:3" x14ac:dyDescent="0.2">
      <c r="A78">
        <v>1715869876</v>
      </c>
      <c r="B78">
        <v>13.467413000000001</v>
      </c>
      <c r="C78">
        <v>-10.523</v>
      </c>
    </row>
    <row r="79" spans="1:3" x14ac:dyDescent="0.2">
      <c r="A79">
        <v>1715869877</v>
      </c>
      <c r="B79">
        <v>13.468070000000001</v>
      </c>
      <c r="C79">
        <v>-9.4542000000000002</v>
      </c>
    </row>
    <row r="80" spans="1:3" x14ac:dyDescent="0.2">
      <c r="A80">
        <v>1715869878</v>
      </c>
      <c r="B80">
        <v>13.468728</v>
      </c>
      <c r="C80">
        <v>-9.5877999999999997</v>
      </c>
    </row>
    <row r="81" spans="1:3" x14ac:dyDescent="0.2">
      <c r="A81">
        <v>1715869879</v>
      </c>
      <c r="B81">
        <v>13.49328</v>
      </c>
      <c r="C81">
        <v>-10.523</v>
      </c>
    </row>
    <row r="82" spans="1:3" x14ac:dyDescent="0.2">
      <c r="A82">
        <v>1715869880</v>
      </c>
      <c r="B82">
        <v>13.468728</v>
      </c>
      <c r="C82">
        <v>-9.4542000000000002</v>
      </c>
    </row>
    <row r="83" spans="1:3" x14ac:dyDescent="0.2">
      <c r="A83">
        <v>1715869881</v>
      </c>
      <c r="B83">
        <v>13.468728</v>
      </c>
      <c r="C83">
        <v>-9.7213999999999992</v>
      </c>
    </row>
    <row r="84" spans="1:3" x14ac:dyDescent="0.2">
      <c r="A84">
        <v>1715869882</v>
      </c>
      <c r="B84">
        <v>13.468045</v>
      </c>
      <c r="C84">
        <v>-10.523</v>
      </c>
    </row>
    <row r="85" spans="1:3" x14ac:dyDescent="0.2">
      <c r="A85">
        <v>1715869883</v>
      </c>
      <c r="B85">
        <v>13.469358</v>
      </c>
      <c r="C85">
        <v>-9.3206000000000007</v>
      </c>
    </row>
    <row r="86" spans="1:3" x14ac:dyDescent="0.2">
      <c r="A86">
        <v>1715869884</v>
      </c>
      <c r="B86">
        <v>13.445487999999999</v>
      </c>
      <c r="C86">
        <v>-10.3894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Raw">
                <anchor moveWithCells="1">
                  <from>
                    <xdr:col>3</xdr:col>
                    <xdr:colOff>635000</xdr:colOff>
                    <xdr:row>7</xdr:row>
                    <xdr:rowOff>0</xdr:rowOff>
                  </from>
                  <to>
                    <xdr:col>6</xdr:col>
                    <xdr:colOff>406400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0ECD9-5887-EE4A-8797-A20B75C95820}">
  <sheetPr codeName="Sheet3"/>
  <dimension ref="A1:G47"/>
  <sheetViews>
    <sheetView tabSelected="1" workbookViewId="0">
      <selection activeCell="F3" sqref="F3"/>
    </sheetView>
  </sheetViews>
  <sheetFormatPr baseColWidth="10" defaultRowHeight="16" x14ac:dyDescent="0.2"/>
  <cols>
    <col min="1" max="1" width="20.83203125" style="3" customWidth="1"/>
    <col min="2" max="2" width="16.83203125" customWidth="1"/>
    <col min="3" max="6" width="20.83203125" customWidth="1"/>
    <col min="7" max="7" width="22.5" customWidth="1"/>
  </cols>
  <sheetData>
    <row r="1" spans="1:7" ht="31" customHeight="1" x14ac:dyDescent="0.2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</row>
    <row r="2" spans="1:7" x14ac:dyDescent="0.2">
      <c r="A2" s="3">
        <v>1</v>
      </c>
      <c r="B2" t="s">
        <v>28</v>
      </c>
      <c r="C2" t="str">
        <f>_xlfn.CONCAT(B2, "_raw.csv")</f>
        <v>HZ1_raw.csv</v>
      </c>
      <c r="D2" t="str">
        <f>_xlfn.CONCAT($B2, "_clean.csv")</f>
        <v>HZ1_clean.csv</v>
      </c>
      <c r="E2" t="str">
        <f>_xlfn.CONCAT($B2, "_test.csv")</f>
        <v>HZ1_test.csv</v>
      </c>
      <c r="F2" t="s">
        <v>28</v>
      </c>
      <c r="G2">
        <v>0.02</v>
      </c>
    </row>
    <row r="3" spans="1:7" x14ac:dyDescent="0.2">
      <c r="A3" s="3">
        <v>2</v>
      </c>
      <c r="B3" t="s">
        <v>71</v>
      </c>
      <c r="C3" t="str">
        <f t="shared" ref="C3:C47" si="0">_xlfn.CONCAT(B3, "_raw.csv")</f>
        <v>WZ3_raw.csv</v>
      </c>
      <c r="D3" t="str">
        <f t="shared" ref="D3:D47" si="1">_xlfn.CONCAT($B3, "_clean.csv")</f>
        <v>WZ3_clean.csv</v>
      </c>
      <c r="E3" t="str">
        <f t="shared" ref="E3:E47" si="2">_xlfn.CONCAT($B3, "_test.csv")</f>
        <v>WZ3_test.csv</v>
      </c>
      <c r="F3" t="str">
        <f t="shared" ref="F3:F47" si="3">B3</f>
        <v>WZ3</v>
      </c>
      <c r="G3">
        <v>0.02</v>
      </c>
    </row>
    <row r="4" spans="1:7" x14ac:dyDescent="0.2">
      <c r="A4" s="3">
        <v>3</v>
      </c>
      <c r="B4" t="s">
        <v>26</v>
      </c>
      <c r="C4" t="str">
        <f t="shared" si="0"/>
        <v>FZ1_raw.csv</v>
      </c>
      <c r="D4" t="str">
        <f t="shared" si="1"/>
        <v>FZ1_clean.csv</v>
      </c>
      <c r="E4" t="str">
        <f t="shared" si="2"/>
        <v>FZ1_test.csv</v>
      </c>
      <c r="F4" t="str">
        <f t="shared" si="3"/>
        <v>FZ1</v>
      </c>
      <c r="G4">
        <v>0.02</v>
      </c>
    </row>
    <row r="5" spans="1:7" x14ac:dyDescent="0.2">
      <c r="A5" s="3">
        <v>4</v>
      </c>
      <c r="B5" t="s">
        <v>27</v>
      </c>
      <c r="C5" t="str">
        <f t="shared" si="0"/>
        <v>FZ2_raw.csv</v>
      </c>
      <c r="D5" t="str">
        <f t="shared" si="1"/>
        <v>FZ2_clean.csv</v>
      </c>
      <c r="E5" t="str">
        <f t="shared" si="2"/>
        <v>FZ2_test.csv</v>
      </c>
      <c r="F5" t="str">
        <f t="shared" si="3"/>
        <v>FZ2</v>
      </c>
      <c r="G5">
        <v>0.02</v>
      </c>
    </row>
    <row r="6" spans="1:7" x14ac:dyDescent="0.2">
      <c r="A6" s="3">
        <v>5</v>
      </c>
      <c r="B6" t="s">
        <v>29</v>
      </c>
      <c r="C6" t="str">
        <f t="shared" si="0"/>
        <v>FZ3_raw.csv</v>
      </c>
      <c r="D6" t="str">
        <f t="shared" si="1"/>
        <v>FZ3_clean.csv</v>
      </c>
      <c r="E6" t="str">
        <f t="shared" si="2"/>
        <v>FZ3_test.csv</v>
      </c>
      <c r="F6" t="str">
        <f t="shared" si="3"/>
        <v>FZ3</v>
      </c>
      <c r="G6">
        <v>0.02</v>
      </c>
    </row>
    <row r="7" spans="1:7" x14ac:dyDescent="0.2">
      <c r="A7" s="3">
        <v>6</v>
      </c>
      <c r="B7" t="s">
        <v>30</v>
      </c>
      <c r="C7" t="str">
        <f t="shared" si="0"/>
        <v>FZ4_raw.csv</v>
      </c>
      <c r="D7" t="str">
        <f t="shared" si="1"/>
        <v>FZ4_clean.csv</v>
      </c>
      <c r="E7" t="str">
        <f t="shared" si="2"/>
        <v>FZ4_test.csv</v>
      </c>
      <c r="F7" t="str">
        <f t="shared" si="3"/>
        <v>FZ4</v>
      </c>
      <c r="G7">
        <v>0.02</v>
      </c>
    </row>
    <row r="8" spans="1:7" x14ac:dyDescent="0.2">
      <c r="A8" s="3">
        <v>7</v>
      </c>
      <c r="B8" t="s">
        <v>31</v>
      </c>
      <c r="C8" t="str">
        <f t="shared" si="0"/>
        <v>FZ5_raw.csv</v>
      </c>
      <c r="D8" t="str">
        <f t="shared" si="1"/>
        <v>FZ5_clean.csv</v>
      </c>
      <c r="E8" t="str">
        <f t="shared" si="2"/>
        <v>FZ5_test.csv</v>
      </c>
      <c r="F8" t="str">
        <f t="shared" si="3"/>
        <v>FZ5</v>
      </c>
      <c r="G8">
        <v>0.02</v>
      </c>
    </row>
    <row r="9" spans="1:7" x14ac:dyDescent="0.2">
      <c r="A9" s="3">
        <v>8</v>
      </c>
      <c r="B9" t="s">
        <v>32</v>
      </c>
      <c r="C9" t="str">
        <f t="shared" si="0"/>
        <v>FZ6_raw.csv</v>
      </c>
      <c r="D9" t="str">
        <f t="shared" si="1"/>
        <v>FZ6_clean.csv</v>
      </c>
      <c r="E9" t="str">
        <f t="shared" si="2"/>
        <v>FZ6_test.csv</v>
      </c>
      <c r="F9" t="str">
        <f t="shared" si="3"/>
        <v>FZ6</v>
      </c>
      <c r="G9">
        <v>0.02</v>
      </c>
    </row>
    <row r="10" spans="1:7" x14ac:dyDescent="0.2">
      <c r="A10" s="3">
        <v>9</v>
      </c>
      <c r="B10" t="s">
        <v>33</v>
      </c>
      <c r="C10" t="str">
        <f t="shared" si="0"/>
        <v>FZ7_raw.csv</v>
      </c>
      <c r="D10" t="str">
        <f t="shared" si="1"/>
        <v>FZ7_clean.csv</v>
      </c>
      <c r="E10" t="str">
        <f t="shared" si="2"/>
        <v>FZ7_test.csv</v>
      </c>
      <c r="F10" t="str">
        <f t="shared" si="3"/>
        <v>FZ7</v>
      </c>
      <c r="G10">
        <v>0.02</v>
      </c>
    </row>
    <row r="11" spans="1:7" x14ac:dyDescent="0.2">
      <c r="A11" s="3">
        <v>10</v>
      </c>
      <c r="B11" t="s">
        <v>34</v>
      </c>
      <c r="C11" t="str">
        <f t="shared" si="0"/>
        <v>FZ8_raw.csv</v>
      </c>
      <c r="D11" t="str">
        <f t="shared" si="1"/>
        <v>FZ8_clean.csv</v>
      </c>
      <c r="E11" t="str">
        <f t="shared" si="2"/>
        <v>FZ8_test.csv</v>
      </c>
      <c r="F11" t="str">
        <f t="shared" si="3"/>
        <v>FZ8</v>
      </c>
      <c r="G11">
        <v>0.02</v>
      </c>
    </row>
    <row r="12" spans="1:7" x14ac:dyDescent="0.2">
      <c r="A12" s="3">
        <v>11</v>
      </c>
      <c r="B12" t="s">
        <v>35</v>
      </c>
      <c r="C12" t="str">
        <f t="shared" si="0"/>
        <v>FZ9_raw.csv</v>
      </c>
      <c r="D12" t="str">
        <f t="shared" si="1"/>
        <v>FZ9_clean.csv</v>
      </c>
      <c r="E12" t="str">
        <f t="shared" si="2"/>
        <v>FZ9_test.csv</v>
      </c>
      <c r="F12" t="str">
        <f t="shared" si="3"/>
        <v>FZ9</v>
      </c>
      <c r="G12">
        <v>0.02</v>
      </c>
    </row>
    <row r="13" spans="1:7" x14ac:dyDescent="0.2">
      <c r="A13" s="3">
        <v>12</v>
      </c>
      <c r="B13" t="s">
        <v>36</v>
      </c>
      <c r="C13" t="str">
        <f t="shared" si="0"/>
        <v>FZ10_raw.csv</v>
      </c>
      <c r="D13" t="str">
        <f t="shared" si="1"/>
        <v>FZ10_clean.csv</v>
      </c>
      <c r="E13" t="str">
        <f t="shared" si="2"/>
        <v>FZ10_test.csv</v>
      </c>
      <c r="F13" t="str">
        <f t="shared" si="3"/>
        <v>FZ10</v>
      </c>
      <c r="G13">
        <v>0.02</v>
      </c>
    </row>
    <row r="14" spans="1:7" x14ac:dyDescent="0.2">
      <c r="A14" s="3">
        <v>13</v>
      </c>
      <c r="B14" t="s">
        <v>37</v>
      </c>
      <c r="C14" t="str">
        <f t="shared" si="0"/>
        <v>FZ11_raw.csv</v>
      </c>
      <c r="D14" t="str">
        <f t="shared" si="1"/>
        <v>FZ11_clean.csv</v>
      </c>
      <c r="E14" t="str">
        <f t="shared" si="2"/>
        <v>FZ11_test.csv</v>
      </c>
      <c r="F14" t="str">
        <f t="shared" si="3"/>
        <v>FZ11</v>
      </c>
      <c r="G14">
        <v>0.02</v>
      </c>
    </row>
    <row r="15" spans="1:7" x14ac:dyDescent="0.2">
      <c r="A15" s="3">
        <v>14</v>
      </c>
      <c r="B15" t="s">
        <v>38</v>
      </c>
      <c r="C15" t="str">
        <f t="shared" si="0"/>
        <v>FZ12_raw.csv</v>
      </c>
      <c r="D15" t="str">
        <f t="shared" si="1"/>
        <v>FZ12_clean.csv</v>
      </c>
      <c r="E15" t="str">
        <f t="shared" si="2"/>
        <v>FZ12_test.csv</v>
      </c>
      <c r="F15" t="str">
        <f t="shared" si="3"/>
        <v>FZ12</v>
      </c>
      <c r="G15">
        <v>0.02</v>
      </c>
    </row>
    <row r="16" spans="1:7" x14ac:dyDescent="0.2">
      <c r="A16" s="3">
        <v>15</v>
      </c>
      <c r="B16" t="s">
        <v>39</v>
      </c>
      <c r="C16" t="str">
        <f t="shared" si="0"/>
        <v>FZ13_raw.csv</v>
      </c>
      <c r="D16" t="str">
        <f t="shared" si="1"/>
        <v>FZ13_clean.csv</v>
      </c>
      <c r="E16" t="str">
        <f t="shared" si="2"/>
        <v>FZ13_test.csv</v>
      </c>
      <c r="F16" t="str">
        <f t="shared" si="3"/>
        <v>FZ13</v>
      </c>
      <c r="G16">
        <v>0.02</v>
      </c>
    </row>
    <row r="17" spans="1:7" x14ac:dyDescent="0.2">
      <c r="A17" s="3">
        <v>16</v>
      </c>
      <c r="B17" t="s">
        <v>40</v>
      </c>
      <c r="C17" t="str">
        <f t="shared" si="0"/>
        <v>FZ14_raw.csv</v>
      </c>
      <c r="D17" t="str">
        <f t="shared" si="1"/>
        <v>FZ14_clean.csv</v>
      </c>
      <c r="E17" t="str">
        <f t="shared" si="2"/>
        <v>FZ14_test.csv</v>
      </c>
      <c r="F17" t="str">
        <f t="shared" si="3"/>
        <v>FZ14</v>
      </c>
      <c r="G17">
        <v>0.02</v>
      </c>
    </row>
    <row r="18" spans="1:7" x14ac:dyDescent="0.2">
      <c r="A18" s="3">
        <v>17</v>
      </c>
      <c r="B18" t="s">
        <v>41</v>
      </c>
      <c r="C18" t="str">
        <f t="shared" si="0"/>
        <v>FZ15_raw.csv</v>
      </c>
      <c r="D18" t="str">
        <f t="shared" si="1"/>
        <v>FZ15_clean.csv</v>
      </c>
      <c r="E18" t="str">
        <f t="shared" si="2"/>
        <v>FZ15_test.csv</v>
      </c>
      <c r="F18" t="str">
        <f t="shared" si="3"/>
        <v>FZ15</v>
      </c>
      <c r="G18">
        <v>0.02</v>
      </c>
    </row>
    <row r="19" spans="1:7" x14ac:dyDescent="0.2">
      <c r="A19" s="3">
        <v>18</v>
      </c>
      <c r="B19" t="s">
        <v>42</v>
      </c>
      <c r="C19" t="str">
        <f t="shared" si="0"/>
        <v>FZ16_raw.csv</v>
      </c>
      <c r="D19" t="str">
        <f t="shared" si="1"/>
        <v>FZ16_clean.csv</v>
      </c>
      <c r="E19" t="str">
        <f t="shared" si="2"/>
        <v>FZ16_test.csv</v>
      </c>
      <c r="F19" t="str">
        <f t="shared" si="3"/>
        <v>FZ16</v>
      </c>
      <c r="G19">
        <v>0.02</v>
      </c>
    </row>
    <row r="20" spans="1:7" x14ac:dyDescent="0.2">
      <c r="A20" s="3">
        <v>19</v>
      </c>
      <c r="B20" t="s">
        <v>43</v>
      </c>
      <c r="C20" t="str">
        <f t="shared" si="0"/>
        <v>FZ17_raw.csv</v>
      </c>
      <c r="D20" t="str">
        <f t="shared" si="1"/>
        <v>FZ17_clean.csv</v>
      </c>
      <c r="E20" t="str">
        <f t="shared" si="2"/>
        <v>FZ17_test.csv</v>
      </c>
      <c r="F20" t="str">
        <f t="shared" si="3"/>
        <v>FZ17</v>
      </c>
      <c r="G20">
        <v>0.02</v>
      </c>
    </row>
    <row r="21" spans="1:7" x14ac:dyDescent="0.2">
      <c r="A21" s="3">
        <v>20</v>
      </c>
      <c r="B21" t="s">
        <v>44</v>
      </c>
      <c r="C21" t="str">
        <f t="shared" si="0"/>
        <v>FZ18_raw.csv</v>
      </c>
      <c r="D21" t="str">
        <f t="shared" si="1"/>
        <v>FZ18_clean.csv</v>
      </c>
      <c r="E21" t="str">
        <f t="shared" si="2"/>
        <v>FZ18_test.csv</v>
      </c>
      <c r="F21" t="str">
        <f t="shared" si="3"/>
        <v>FZ18</v>
      </c>
      <c r="G21">
        <v>0.02</v>
      </c>
    </row>
    <row r="22" spans="1:7" x14ac:dyDescent="0.2">
      <c r="A22" s="3">
        <v>21</v>
      </c>
      <c r="B22" t="s">
        <v>45</v>
      </c>
      <c r="C22" t="str">
        <f t="shared" si="0"/>
        <v>FZ19_raw.csv</v>
      </c>
      <c r="D22" t="str">
        <f t="shared" si="1"/>
        <v>FZ19_clean.csv</v>
      </c>
      <c r="E22" t="str">
        <f t="shared" si="2"/>
        <v>FZ19_test.csv</v>
      </c>
      <c r="F22" t="str">
        <f t="shared" si="3"/>
        <v>FZ19</v>
      </c>
      <c r="G22">
        <v>0.02</v>
      </c>
    </row>
    <row r="23" spans="1:7" x14ac:dyDescent="0.2">
      <c r="A23" s="3">
        <v>22</v>
      </c>
      <c r="B23" t="s">
        <v>46</v>
      </c>
      <c r="C23" t="str">
        <f t="shared" si="0"/>
        <v>FZ20_raw.csv</v>
      </c>
      <c r="D23" t="str">
        <f t="shared" si="1"/>
        <v>FZ20_clean.csv</v>
      </c>
      <c r="E23" t="str">
        <f t="shared" si="2"/>
        <v>FZ20_test.csv</v>
      </c>
      <c r="F23" t="str">
        <f t="shared" si="3"/>
        <v>FZ20</v>
      </c>
      <c r="G23">
        <v>0.02</v>
      </c>
    </row>
    <row r="24" spans="1:7" x14ac:dyDescent="0.2">
      <c r="A24" s="3">
        <v>23</v>
      </c>
      <c r="B24" t="s">
        <v>47</v>
      </c>
      <c r="C24" t="str">
        <f t="shared" si="0"/>
        <v>FZ21_raw.csv</v>
      </c>
      <c r="D24" t="str">
        <f t="shared" si="1"/>
        <v>FZ21_clean.csv</v>
      </c>
      <c r="E24" t="str">
        <f t="shared" si="2"/>
        <v>FZ21_test.csv</v>
      </c>
      <c r="F24" t="str">
        <f t="shared" si="3"/>
        <v>FZ21</v>
      </c>
      <c r="G24">
        <v>0.02</v>
      </c>
    </row>
    <row r="25" spans="1:7" x14ac:dyDescent="0.2">
      <c r="A25" s="3">
        <v>24</v>
      </c>
      <c r="B25" t="s">
        <v>48</v>
      </c>
      <c r="C25" t="str">
        <f t="shared" si="0"/>
        <v>FZ22_raw.csv</v>
      </c>
      <c r="D25" t="str">
        <f t="shared" si="1"/>
        <v>FZ22_clean.csv</v>
      </c>
      <c r="E25" t="str">
        <f t="shared" si="2"/>
        <v>FZ22_test.csv</v>
      </c>
      <c r="F25" t="str">
        <f t="shared" si="3"/>
        <v>FZ22</v>
      </c>
      <c r="G25">
        <v>0.02</v>
      </c>
    </row>
    <row r="26" spans="1:7" x14ac:dyDescent="0.2">
      <c r="A26" s="3">
        <v>25</v>
      </c>
      <c r="B26" t="s">
        <v>49</v>
      </c>
      <c r="C26" t="str">
        <f t="shared" si="0"/>
        <v>BZ1_raw.csv</v>
      </c>
      <c r="D26" t="str">
        <f t="shared" si="1"/>
        <v>BZ1_clean.csv</v>
      </c>
      <c r="E26" t="str">
        <f t="shared" si="2"/>
        <v>BZ1_test.csv</v>
      </c>
      <c r="F26" t="str">
        <f t="shared" si="3"/>
        <v>BZ1</v>
      </c>
      <c r="G26">
        <v>0.02</v>
      </c>
    </row>
    <row r="27" spans="1:7" x14ac:dyDescent="0.2">
      <c r="A27" s="3">
        <v>26</v>
      </c>
      <c r="B27" t="s">
        <v>50</v>
      </c>
      <c r="C27" t="str">
        <f t="shared" si="0"/>
        <v>BZ2_raw.csv</v>
      </c>
      <c r="D27" t="str">
        <f t="shared" si="1"/>
        <v>BZ2_clean.csv</v>
      </c>
      <c r="E27" t="str">
        <f t="shared" si="2"/>
        <v>BZ2_test.csv</v>
      </c>
      <c r="F27" t="str">
        <f t="shared" si="3"/>
        <v>BZ2</v>
      </c>
      <c r="G27">
        <v>0.02</v>
      </c>
    </row>
    <row r="28" spans="1:7" x14ac:dyDescent="0.2">
      <c r="A28" s="3">
        <v>27</v>
      </c>
      <c r="B28" t="s">
        <v>51</v>
      </c>
      <c r="C28" t="str">
        <f t="shared" si="0"/>
        <v>BZ3_raw.csv</v>
      </c>
      <c r="D28" t="str">
        <f t="shared" si="1"/>
        <v>BZ3_clean.csv</v>
      </c>
      <c r="E28" t="str">
        <f t="shared" si="2"/>
        <v>BZ3_test.csv</v>
      </c>
      <c r="F28" t="str">
        <f t="shared" si="3"/>
        <v>BZ3</v>
      </c>
      <c r="G28">
        <v>0.02</v>
      </c>
    </row>
    <row r="29" spans="1:7" x14ac:dyDescent="0.2">
      <c r="A29" s="3">
        <v>28</v>
      </c>
      <c r="B29" t="s">
        <v>52</v>
      </c>
      <c r="C29" t="str">
        <f t="shared" si="0"/>
        <v>BZ4_raw.csv</v>
      </c>
      <c r="D29" t="str">
        <f t="shared" si="1"/>
        <v>BZ4_clean.csv</v>
      </c>
      <c r="E29" t="str">
        <f t="shared" si="2"/>
        <v>BZ4_test.csv</v>
      </c>
      <c r="F29" t="str">
        <f t="shared" si="3"/>
        <v>BZ4</v>
      </c>
      <c r="G29">
        <v>0.02</v>
      </c>
    </row>
    <row r="30" spans="1:7" x14ac:dyDescent="0.2">
      <c r="A30" s="3">
        <v>29</v>
      </c>
      <c r="B30" t="s">
        <v>53</v>
      </c>
      <c r="C30" t="str">
        <f t="shared" si="0"/>
        <v>BZ5_raw.csv</v>
      </c>
      <c r="D30" t="str">
        <f t="shared" si="1"/>
        <v>BZ5_clean.csv</v>
      </c>
      <c r="E30" t="str">
        <f t="shared" si="2"/>
        <v>BZ5_test.csv</v>
      </c>
      <c r="F30" t="str">
        <f t="shared" si="3"/>
        <v>BZ5</v>
      </c>
      <c r="G30">
        <v>0.02</v>
      </c>
    </row>
    <row r="31" spans="1:7" x14ac:dyDescent="0.2">
      <c r="A31" s="3">
        <v>30</v>
      </c>
      <c r="B31" t="s">
        <v>54</v>
      </c>
      <c r="C31" t="str">
        <f t="shared" si="0"/>
        <v>BZ6_raw.csv</v>
      </c>
      <c r="D31" t="str">
        <f t="shared" si="1"/>
        <v>BZ6_clean.csv</v>
      </c>
      <c r="E31" t="str">
        <f t="shared" si="2"/>
        <v>BZ6_test.csv</v>
      </c>
      <c r="F31" t="str">
        <f t="shared" si="3"/>
        <v>BZ6</v>
      </c>
      <c r="G31">
        <v>0.02</v>
      </c>
    </row>
    <row r="32" spans="1:7" x14ac:dyDescent="0.2">
      <c r="A32" s="3">
        <v>31</v>
      </c>
      <c r="B32" t="s">
        <v>55</v>
      </c>
      <c r="C32" t="str">
        <f t="shared" si="0"/>
        <v>BZ7_raw.csv</v>
      </c>
      <c r="D32" t="str">
        <f t="shared" si="1"/>
        <v>BZ7_clean.csv</v>
      </c>
      <c r="E32" t="str">
        <f t="shared" si="2"/>
        <v>BZ7_test.csv</v>
      </c>
      <c r="F32" t="str">
        <f t="shared" si="3"/>
        <v>BZ7</v>
      </c>
      <c r="G32">
        <v>0.02</v>
      </c>
    </row>
    <row r="33" spans="1:7" x14ac:dyDescent="0.2">
      <c r="A33" s="3">
        <v>32</v>
      </c>
      <c r="B33" t="s">
        <v>56</v>
      </c>
      <c r="C33" t="str">
        <f t="shared" si="0"/>
        <v>BZ8_raw.csv</v>
      </c>
      <c r="D33" t="str">
        <f t="shared" si="1"/>
        <v>BZ8_clean.csv</v>
      </c>
      <c r="E33" t="str">
        <f t="shared" si="2"/>
        <v>BZ8_test.csv</v>
      </c>
      <c r="F33" t="str">
        <f t="shared" si="3"/>
        <v>BZ8</v>
      </c>
      <c r="G33">
        <v>0.02</v>
      </c>
    </row>
    <row r="34" spans="1:7" x14ac:dyDescent="0.2">
      <c r="A34" s="3">
        <v>33</v>
      </c>
      <c r="B34" t="s">
        <v>57</v>
      </c>
      <c r="C34" t="str">
        <f t="shared" si="0"/>
        <v>BZ9_raw.csv</v>
      </c>
      <c r="D34" t="str">
        <f t="shared" si="1"/>
        <v>BZ9_clean.csv</v>
      </c>
      <c r="E34" t="str">
        <f t="shared" si="2"/>
        <v>BZ9_test.csv</v>
      </c>
      <c r="F34" t="str">
        <f t="shared" si="3"/>
        <v>BZ9</v>
      </c>
      <c r="G34">
        <v>0.02</v>
      </c>
    </row>
    <row r="35" spans="1:7" x14ac:dyDescent="0.2">
      <c r="A35" s="3">
        <v>34</v>
      </c>
      <c r="B35" t="s">
        <v>58</v>
      </c>
      <c r="C35" t="str">
        <f t="shared" si="0"/>
        <v>BZ10_raw.csv</v>
      </c>
      <c r="D35" t="str">
        <f t="shared" si="1"/>
        <v>BZ10_clean.csv</v>
      </c>
      <c r="E35" t="str">
        <f t="shared" si="2"/>
        <v>BZ10_test.csv</v>
      </c>
      <c r="F35" t="str">
        <f t="shared" si="3"/>
        <v>BZ10</v>
      </c>
      <c r="G35">
        <v>0.02</v>
      </c>
    </row>
    <row r="36" spans="1:7" x14ac:dyDescent="0.2">
      <c r="A36" s="3">
        <v>35</v>
      </c>
      <c r="B36" t="s">
        <v>59</v>
      </c>
      <c r="C36" t="str">
        <f t="shared" si="0"/>
        <v>BZ11_raw.csv</v>
      </c>
      <c r="D36" t="str">
        <f t="shared" si="1"/>
        <v>BZ11_clean.csv</v>
      </c>
      <c r="E36" t="str">
        <f t="shared" si="2"/>
        <v>BZ11_test.csv</v>
      </c>
      <c r="F36" t="str">
        <f t="shared" si="3"/>
        <v>BZ11</v>
      </c>
      <c r="G36">
        <v>0.02</v>
      </c>
    </row>
    <row r="37" spans="1:7" x14ac:dyDescent="0.2">
      <c r="A37" s="3">
        <v>36</v>
      </c>
      <c r="B37" t="s">
        <v>60</v>
      </c>
      <c r="C37" t="str">
        <f t="shared" si="0"/>
        <v>BZ12_raw.csv</v>
      </c>
      <c r="D37" t="str">
        <f t="shared" si="1"/>
        <v>BZ12_clean.csv</v>
      </c>
      <c r="E37" t="str">
        <f t="shared" si="2"/>
        <v>BZ12_test.csv</v>
      </c>
      <c r="F37" t="str">
        <f t="shared" si="3"/>
        <v>BZ12</v>
      </c>
      <c r="G37">
        <v>0.02</v>
      </c>
    </row>
    <row r="38" spans="1:7" x14ac:dyDescent="0.2">
      <c r="A38" s="3">
        <v>37</v>
      </c>
      <c r="B38" t="s">
        <v>61</v>
      </c>
      <c r="C38" t="str">
        <f t="shared" si="0"/>
        <v>BZ13_raw.csv</v>
      </c>
      <c r="D38" t="str">
        <f t="shared" si="1"/>
        <v>BZ13_clean.csv</v>
      </c>
      <c r="E38" t="str">
        <f t="shared" si="2"/>
        <v>BZ13_test.csv</v>
      </c>
      <c r="F38" t="str">
        <f t="shared" si="3"/>
        <v>BZ13</v>
      </c>
      <c r="G38">
        <v>0.02</v>
      </c>
    </row>
    <row r="39" spans="1:7" x14ac:dyDescent="0.2">
      <c r="A39" s="3">
        <v>38</v>
      </c>
      <c r="B39" t="s">
        <v>62</v>
      </c>
      <c r="C39" t="str">
        <f t="shared" si="0"/>
        <v>BZ14_raw.csv</v>
      </c>
      <c r="D39" t="str">
        <f t="shared" si="1"/>
        <v>BZ14_clean.csv</v>
      </c>
      <c r="E39" t="str">
        <f t="shared" si="2"/>
        <v>BZ14_test.csv</v>
      </c>
      <c r="F39" t="str">
        <f t="shared" si="3"/>
        <v>BZ14</v>
      </c>
      <c r="G39">
        <v>0.02</v>
      </c>
    </row>
    <row r="40" spans="1:7" x14ac:dyDescent="0.2">
      <c r="A40" s="3">
        <v>39</v>
      </c>
      <c r="B40" t="s">
        <v>63</v>
      </c>
      <c r="C40" t="str">
        <f t="shared" si="0"/>
        <v>BZ15_raw.csv</v>
      </c>
      <c r="D40" t="str">
        <f t="shared" si="1"/>
        <v>BZ15_clean.csv</v>
      </c>
      <c r="E40" t="str">
        <f t="shared" si="2"/>
        <v>BZ15_test.csv</v>
      </c>
      <c r="F40" t="str">
        <f t="shared" si="3"/>
        <v>BZ15</v>
      </c>
      <c r="G40">
        <v>0.02</v>
      </c>
    </row>
    <row r="41" spans="1:7" x14ac:dyDescent="0.2">
      <c r="A41" s="3">
        <v>40</v>
      </c>
      <c r="B41" t="s">
        <v>64</v>
      </c>
      <c r="C41" t="str">
        <f t="shared" si="0"/>
        <v>BZ16_raw.csv</v>
      </c>
      <c r="D41" t="str">
        <f t="shared" si="1"/>
        <v>BZ16_clean.csv</v>
      </c>
      <c r="E41" t="str">
        <f t="shared" si="2"/>
        <v>BZ16_test.csv</v>
      </c>
      <c r="F41" t="str">
        <f t="shared" si="3"/>
        <v>BZ16</v>
      </c>
      <c r="G41">
        <v>0.02</v>
      </c>
    </row>
    <row r="42" spans="1:7" x14ac:dyDescent="0.2">
      <c r="A42" s="3">
        <v>41</v>
      </c>
      <c r="B42" t="s">
        <v>65</v>
      </c>
      <c r="C42" t="str">
        <f t="shared" si="0"/>
        <v>BZ17_raw.csv</v>
      </c>
      <c r="D42" t="str">
        <f t="shared" si="1"/>
        <v>BZ17_clean.csv</v>
      </c>
      <c r="E42" t="str">
        <f t="shared" si="2"/>
        <v>BZ17_test.csv</v>
      </c>
      <c r="F42" t="str">
        <f t="shared" si="3"/>
        <v>BZ17</v>
      </c>
      <c r="G42">
        <v>0.02</v>
      </c>
    </row>
    <row r="43" spans="1:7" x14ac:dyDescent="0.2">
      <c r="A43" s="3">
        <v>42</v>
      </c>
      <c r="B43" t="s">
        <v>66</v>
      </c>
      <c r="C43" t="str">
        <f t="shared" si="0"/>
        <v>BZ18_raw.csv</v>
      </c>
      <c r="D43" t="str">
        <f t="shared" si="1"/>
        <v>BZ18_clean.csv</v>
      </c>
      <c r="E43" t="str">
        <f t="shared" si="2"/>
        <v>BZ18_test.csv</v>
      </c>
      <c r="F43" t="str">
        <f t="shared" si="3"/>
        <v>BZ18</v>
      </c>
      <c r="G43">
        <v>0.02</v>
      </c>
    </row>
    <row r="44" spans="1:7" x14ac:dyDescent="0.2">
      <c r="A44" s="3">
        <v>43</v>
      </c>
      <c r="B44" t="s">
        <v>67</v>
      </c>
      <c r="C44" t="str">
        <f t="shared" si="0"/>
        <v>BZ19_raw.csv</v>
      </c>
      <c r="D44" t="str">
        <f t="shared" si="1"/>
        <v>BZ19_clean.csv</v>
      </c>
      <c r="E44" t="str">
        <f t="shared" si="2"/>
        <v>BZ19_test.csv</v>
      </c>
      <c r="F44" t="str">
        <f t="shared" si="3"/>
        <v>BZ19</v>
      </c>
      <c r="G44">
        <v>0.02</v>
      </c>
    </row>
    <row r="45" spans="1:7" x14ac:dyDescent="0.2">
      <c r="A45" s="3">
        <v>44</v>
      </c>
      <c r="B45" t="s">
        <v>68</v>
      </c>
      <c r="C45" t="str">
        <f t="shared" si="0"/>
        <v>BZ20_raw.csv</v>
      </c>
      <c r="D45" t="str">
        <f t="shared" si="1"/>
        <v>BZ20_clean.csv</v>
      </c>
      <c r="E45" t="str">
        <f t="shared" si="2"/>
        <v>BZ20_test.csv</v>
      </c>
      <c r="F45" t="str">
        <f t="shared" si="3"/>
        <v>BZ20</v>
      </c>
      <c r="G45">
        <v>0.02</v>
      </c>
    </row>
    <row r="46" spans="1:7" x14ac:dyDescent="0.2">
      <c r="A46" s="3">
        <v>45</v>
      </c>
      <c r="B46" t="s">
        <v>69</v>
      </c>
      <c r="C46" t="str">
        <f t="shared" si="0"/>
        <v>BZ21_raw.csv</v>
      </c>
      <c r="D46" t="str">
        <f t="shared" si="1"/>
        <v>BZ21_clean.csv</v>
      </c>
      <c r="E46" t="str">
        <f t="shared" si="2"/>
        <v>BZ21_test.csv</v>
      </c>
      <c r="F46" t="str">
        <f t="shared" si="3"/>
        <v>BZ21</v>
      </c>
      <c r="G46">
        <v>0.02</v>
      </c>
    </row>
    <row r="47" spans="1:7" x14ac:dyDescent="0.2">
      <c r="A47" s="3">
        <v>46</v>
      </c>
      <c r="B47" t="s">
        <v>70</v>
      </c>
      <c r="C47" t="str">
        <f t="shared" si="0"/>
        <v>BZ22_raw.csv</v>
      </c>
      <c r="D47" t="str">
        <f t="shared" si="1"/>
        <v>BZ22_clean.csv</v>
      </c>
      <c r="E47" t="str">
        <f t="shared" si="2"/>
        <v>BZ22_test.csv</v>
      </c>
      <c r="F47" t="str">
        <f t="shared" si="3"/>
        <v>BZ22</v>
      </c>
      <c r="G47">
        <v>0.02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 Data</vt:lpstr>
      <vt:lpstr>Raw Data</vt:lpstr>
      <vt:lpstr>model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2024-05-09T19:26:37Z</dcterms:created>
  <dcterms:modified xsi:type="dcterms:W3CDTF">2024-05-22T17:38:21Z</dcterms:modified>
</cp:coreProperties>
</file>